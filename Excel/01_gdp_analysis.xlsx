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sse\Desktop\World Bank Project\Excel\"/>
    </mc:Choice>
  </mc:AlternateContent>
  <xr:revisionPtr revIDLastSave="0" documentId="13_ncr:1_{B54D43AE-8D34-42F8-9A86-FD061B266674}" xr6:coauthVersionLast="47" xr6:coauthVersionMax="47" xr10:uidLastSave="{00000000-0000-0000-0000-000000000000}"/>
  <bookViews>
    <workbookView xWindow="-120" yWindow="-120" windowWidth="20730" windowHeight="11400" activeTab="3" xr2:uid="{D2D88445-A5AE-4770-9772-A8768E599421}"/>
  </bookViews>
  <sheets>
    <sheet name="GDP Analysys Project" sheetId="2" r:id="rId1"/>
    <sheet name="Data Quality" sheetId="3" r:id="rId2"/>
    <sheet name="Spain GDP Analysis " sheetId="8" r:id="rId3"/>
    <sheet name="Spain 10 Year CAGR" sheetId="5" r:id="rId4"/>
    <sheet name="rolling_cagr_table" sheetId="11" state="hidden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<sst xmlns="http://schemas.openxmlformats.org/spreadsheetml/2006/main" count="250" uniqueCount="116">
  <si>
    <t>Year</t>
  </si>
  <si>
    <t>Value</t>
  </si>
  <si>
    <t>CAGR</t>
  </si>
  <si>
    <t xml:space="preserve">Tools: SQL | Microsoft Excel | Pivot Tables | Charts | CAGR </t>
  </si>
  <si>
    <t>Ylenia Pérez Jiménez</t>
  </si>
  <si>
    <t>SQL-based analysis of World Bank economic data</t>
  </si>
  <si>
    <r>
      <t xml:space="preserve">Last update: </t>
    </r>
    <r>
      <rPr>
        <sz val="11"/>
        <color theme="1"/>
        <rFont val="Aptos Narrow"/>
        <family val="2"/>
        <scheme val="minor"/>
      </rPr>
      <t>July 2026</t>
    </r>
  </si>
  <si>
    <r>
      <t>Period:</t>
    </r>
    <r>
      <rPr>
        <sz val="11"/>
        <color theme="1"/>
        <rFont val="Aptos Narrow"/>
        <family val="2"/>
        <scheme val="minor"/>
      </rPr>
      <t xml:space="preserve"> 1960-2025</t>
    </r>
  </si>
  <si>
    <r>
      <t>Indicator:</t>
    </r>
    <r>
      <rPr>
        <sz val="11"/>
        <color theme="1"/>
        <rFont val="Aptos Narrow"/>
        <family val="2"/>
        <scheme val="minor"/>
      </rPr>
      <t xml:space="preserve"> GDP (Current US$)</t>
    </r>
  </si>
  <si>
    <r>
      <t xml:space="preserve">Dataset: </t>
    </r>
    <r>
      <rPr>
        <sz val="11"/>
        <color theme="1"/>
        <rFont val="Aptos Narrow"/>
        <family val="2"/>
        <scheme val="minor"/>
      </rPr>
      <t>World Bank Open Data</t>
    </r>
  </si>
  <si>
    <t>Analysis of Economic Indicators</t>
  </si>
  <si>
    <t>Total</t>
  </si>
  <si>
    <t>60+ years</t>
  </si>
  <si>
    <t>40-59 years</t>
  </si>
  <si>
    <t>20-39 years</t>
  </si>
  <si>
    <t>10-19 years</t>
  </si>
  <si>
    <t>Percentage</t>
  </si>
  <si>
    <t>Historical depth</t>
  </si>
  <si>
    <t>Poor coverage</t>
  </si>
  <si>
    <t>Medium coverage</t>
  </si>
  <si>
    <t>Low coverage</t>
  </si>
  <si>
    <t>High coverage</t>
  </si>
  <si>
    <t>Full coverage</t>
  </si>
  <si>
    <t>Coverage Category</t>
  </si>
  <si>
    <t>1960-2025</t>
  </si>
  <si>
    <t>Period</t>
  </si>
  <si>
    <t>GDP (Current USD$)</t>
  </si>
  <si>
    <t>Inidcator</t>
  </si>
  <si>
    <t xml:space="preserve">Countries </t>
  </si>
  <si>
    <t>Metric</t>
  </si>
  <si>
    <t>Data Quality Assessment</t>
  </si>
  <si>
    <t>Spain GDP Analysis</t>
  </si>
  <si>
    <t>This section presents the evolution of Spain's nominal GDP between 1960 and 2025.The analysis combines annual growth metrics with long-term compound growth to distinguish short fluctuations from structural trends.</t>
  </si>
  <si>
    <t xml:space="preserve">Metric </t>
  </si>
  <si>
    <t>Country</t>
  </si>
  <si>
    <t>Spain (ESP)</t>
  </si>
  <si>
    <t>Indicator</t>
  </si>
  <si>
    <t>GDP (Current US$)</t>
  </si>
  <si>
    <t>Coverage</t>
  </si>
  <si>
    <t>66 years</t>
  </si>
  <si>
    <t>2010-2020</t>
  </si>
  <si>
    <t>2000-2010</t>
  </si>
  <si>
    <t>1990-2000</t>
  </si>
  <si>
    <t>1980-1990</t>
  </si>
  <si>
    <t>1970-1980</t>
  </si>
  <si>
    <t>1960-1970</t>
  </si>
  <si>
    <t>final_value</t>
  </si>
  <si>
    <t>period</t>
  </si>
  <si>
    <t>GDP Value</t>
  </si>
  <si>
    <t>GDP Growth (%)</t>
  </si>
  <si>
    <t>Initial Value</t>
  </si>
  <si>
    <t>Final Value</t>
  </si>
  <si>
    <t>1970-2025*</t>
  </si>
  <si>
    <t>Window</t>
  </si>
  <si>
    <t>10 year</t>
  </si>
  <si>
    <t>This section presents the evolution of the 10-year Compound Annual Growth Rate (CAGR) through two complementary approaches: one compares average annual growth across fixed 10-year periods, while the other shows how the same measure evolves as the 10-year observation window moves forward one year at a time.</t>
  </si>
  <si>
    <t>*Since the dataset begins in 1960 and the CAGR requires a 10-year gap between initial and final values, results are only available from 1970 onwards</t>
  </si>
  <si>
    <t>2015-2025</t>
  </si>
  <si>
    <t>PIB (US$ a precios actuales)</t>
  </si>
  <si>
    <t>ESP</t>
  </si>
  <si>
    <t>2014-2024</t>
  </si>
  <si>
    <t>2013-2023</t>
  </si>
  <si>
    <t>2012-2022</t>
  </si>
  <si>
    <t>2011-2021</t>
  </si>
  <si>
    <t>2009-2019</t>
  </si>
  <si>
    <t>2008-2018</t>
  </si>
  <si>
    <t>2007-2017</t>
  </si>
  <si>
    <t>2006-2016</t>
  </si>
  <si>
    <t>2005-2015</t>
  </si>
  <si>
    <t>2004-2014</t>
  </si>
  <si>
    <t>2003-2013</t>
  </si>
  <si>
    <t>2002-2012</t>
  </si>
  <si>
    <t>2001-2011</t>
  </si>
  <si>
    <t>1999-2009</t>
  </si>
  <si>
    <t>1998-2008</t>
  </si>
  <si>
    <t>1997-2007</t>
  </si>
  <si>
    <t>1996-2006</t>
  </si>
  <si>
    <t>1995-2005</t>
  </si>
  <si>
    <t>1994-2004</t>
  </si>
  <si>
    <t>1993-2003</t>
  </si>
  <si>
    <t>1992-2002</t>
  </si>
  <si>
    <t>1991-2001</t>
  </si>
  <si>
    <t>1989-1999</t>
  </si>
  <si>
    <t>1988-1998</t>
  </si>
  <si>
    <t>1987-1997</t>
  </si>
  <si>
    <t>1986-1996</t>
  </si>
  <si>
    <t>1985-1995</t>
  </si>
  <si>
    <t>1984-1994</t>
  </si>
  <si>
    <t>1983-1993</t>
  </si>
  <si>
    <t>1982-1992</t>
  </si>
  <si>
    <t>1981-1991</t>
  </si>
  <si>
    <t>1979-1989</t>
  </si>
  <si>
    <t>1978-1988</t>
  </si>
  <si>
    <t>1977-1987</t>
  </si>
  <si>
    <t>1976-1986</t>
  </si>
  <si>
    <t>1975-1985</t>
  </si>
  <si>
    <t>1974-1984</t>
  </si>
  <si>
    <t>1973-1983</t>
  </si>
  <si>
    <t>1972-1982</t>
  </si>
  <si>
    <t>1971-1981</t>
  </si>
  <si>
    <t>1969-1979</t>
  </si>
  <si>
    <t>1968-1978</t>
  </si>
  <si>
    <t>1967-1977</t>
  </si>
  <si>
    <t>1966-1976</t>
  </si>
  <si>
    <t>1965-1975</t>
  </si>
  <si>
    <t>1964-1974</t>
  </si>
  <si>
    <t>1963-1973</t>
  </si>
  <si>
    <t>1962-1972</t>
  </si>
  <si>
    <t>1961-1971</t>
  </si>
  <si>
    <t>rolling_10y_cagr</t>
  </si>
  <si>
    <t>initial_value</t>
  </si>
  <si>
    <t>indicator</t>
  </si>
  <si>
    <t>iso_code</t>
  </si>
  <si>
    <t>Spain 10-Year CAGR</t>
  </si>
  <si>
    <t xml:space="preserve">This project analyzes nominal Gross Domestic Product (GDP) data from the World Bank using SQL and Excel. The analysis begins with a data quality asessment of the complete dataset before focusing on Spain as a case study. It examines GDP evolution and compares different Compund Annual Growth Rate (CAGR) approaches to provide complementary perspectives on long-term economic growth. </t>
  </si>
  <si>
    <t>Project 01 | Gross Domestic Product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</si>
</sst>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4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40"/>
      <color theme="0"/>
      <name val="Aptos Narrow"/>
      <family val="2"/>
      <scheme val="minor"/>
    </font>
    <font>
      <sz val="30"/>
      <color theme="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8"/>
      <color theme="3" tint="9.9978637043366805E-2"/>
      <name val="Aptos Narrow"/>
      <family val="2"/>
      <scheme val="minor"/>
    </font>
    <font>
      <sz val="16"/>
      <color theme="4"/>
      <name val="Aptos Narrow"/>
      <family val="2"/>
      <scheme val="minor"/>
    </font>
    <font>
      <b/>
      <sz val="14"/>
      <color theme="3" tint="9.9978637043366805E-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7" fillId="0" borderId="0" xfId="1" applyFont="1" applyFill="1" applyAlignment="1">
      <alignment vertical="center"/>
    </xf>
    <xf numFmtId="0" fontId="9" fillId="0" borderId="0" xfId="1" applyFont="1" applyFill="1" applyAlignment="1">
      <alignment vertical="center"/>
    </xf>
    <xf numFmtId="0" fontId="0" fillId="3" borderId="5" xfId="0" applyFill="1" applyBorder="1"/>
    <xf numFmtId="0" fontId="0" fillId="3" borderId="6" xfId="0" applyFill="1" applyBorder="1"/>
    <xf numFmtId="10" fontId="3" fillId="3" borderId="1" xfId="0" applyNumberFormat="1" applyFont="1" applyFill="1" applyBorder="1"/>
    <xf numFmtId="0" fontId="3" fillId="3" borderId="2" xfId="0" applyFont="1" applyFill="1" applyBorder="1" applyAlignment="1">
      <alignment horizontal="left"/>
    </xf>
    <xf numFmtId="10" fontId="0" fillId="0" borderId="3" xfId="0" applyNumberFormat="1" applyBorder="1"/>
    <xf numFmtId="0" fontId="2" fillId="0" borderId="4" xfId="0" applyFont="1" applyBorder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1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2" xfId="0" applyFont="1" applyBorder="1"/>
    <xf numFmtId="0" fontId="1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2" fillId="0" borderId="4" xfId="0" applyFont="1" applyBorder="1"/>
    <xf numFmtId="0" fontId="13" fillId="0" borderId="0" xfId="0" applyFont="1" applyAlignment="1">
      <alignment vertical="center"/>
    </xf>
    <xf numFmtId="0" fontId="1" fillId="2" borderId="5" xfId="1" applyFont="1" applyBorder="1" applyAlignment="1">
      <alignment horizontal="center"/>
    </xf>
    <xf numFmtId="0" fontId="1" fillId="2" borderId="6" xfId="1" applyFont="1" applyBorder="1" applyAlignment="1">
      <alignment horizont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3" borderId="6" xfId="1" applyFont="1" applyFill="1" applyBorder="1" applyAlignment="1">
      <alignment horizontal="center"/>
    </xf>
    <xf numFmtId="0" fontId="1" fillId="3" borderId="7" xfId="1" applyFont="1" applyFill="1" applyBorder="1" applyAlignment="1">
      <alignment horizontal="center"/>
    </xf>
    <xf numFmtId="0" fontId="15" fillId="0" borderId="3" xfId="0" applyFont="1" applyBorder="1" applyAlignment="1">
      <alignment horizontal="left"/>
    </xf>
    <xf numFmtId="9" fontId="0" fillId="0" borderId="3" xfId="0" applyNumberFormat="1" applyBorder="1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3" xfId="0" applyBorder="1"/>
    <xf numFmtId="0" fontId="8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2" borderId="0" xfId="1" applyFont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2">
    <cellStyle name="Énfasis1" xfId="1" builtinId="29"/>
    <cellStyle name="Normal" xfId="0" builtinId="0"/>
  </cellStyles>
  <dxfs count="5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alignment horizontal="center" vertical="bottom" textRotation="0" wrapText="0" indent="0" justifyLastLine="0" shrinkToFit="0" readingOrder="0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3" tint="9.9978637043366805E-2"/>
      </font>
    </dxf>
    <dxf>
      <font>
        <color theme="3" tint="9.9978637043366805E-2"/>
      </font>
    </dxf>
    <dxf>
      <font>
        <b/>
      </font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Coverage Categories</a:t>
            </a:r>
            <a:r>
              <a:rPr lang="en-US" baseline="0"/>
              <a:t>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Quality'!$G$9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'Data Quality'!$F$10:$F$14</c:f>
              <c:strCache>
                <c:ptCount val="5"/>
                <c:pt idx="0">
                  <c:v>Full coverage</c:v>
                </c:pt>
                <c:pt idx="1">
                  <c:v>High coverage</c:v>
                </c:pt>
                <c:pt idx="2">
                  <c:v>Low coverage</c:v>
                </c:pt>
                <c:pt idx="3">
                  <c:v>Medium coverage</c:v>
                </c:pt>
                <c:pt idx="4">
                  <c:v>Poor coverage</c:v>
                </c:pt>
              </c:strCache>
            </c:strRef>
          </c:cat>
          <c:val>
            <c:numRef>
              <c:f>'Data Quality'!$G$10:$G$14</c:f>
              <c:numCache>
                <c:formatCode>0.00%</c:formatCode>
                <c:ptCount val="5"/>
                <c:pt idx="0">
                  <c:v>0.87739463601532564</c:v>
                </c:pt>
                <c:pt idx="1">
                  <c:v>0.1111111111111111</c:v>
                </c:pt>
                <c:pt idx="2">
                  <c:v>3.8314176245210726E-3</c:v>
                </c:pt>
                <c:pt idx="3">
                  <c:v>3.8314176245210726E-3</c:v>
                </c:pt>
                <c:pt idx="4">
                  <c:v>3.8314176245210726E-3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D-46E9-9169-3BE2BC5D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6938400"/>
        <c:axId val="1676944160"/>
      </c:barChart>
      <c:catAx>
        <c:axId val="167693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44160"/>
        <c:crosses val="autoZero"/>
        <c:auto val="1"/>
        <c:lblAlgn val="ctr"/>
        <c:lblOffset val="100"/>
        <c:noMultiLvlLbl val="0"/>
      </c:catAx>
      <c:valAx>
        <c:axId val="167694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3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[01_gdp_analysis.xlsx]Data Quality!TablaDinámica6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Depth (%)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Quality'!$G$18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4F-4891-A262-55354EA791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4F-4891-A262-55354EA791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4F-4891-A262-55354EA791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4F-4891-A262-55354EA791BA}"/>
              </c:ext>
            </c:extLst>
          </c:dPt>
          <c:cat>
            <c:strRef>
              <c:f>'Data Quality'!$F$19:$F$23</c:f>
              <c:strCache>
                <c:ptCount val="4"/>
                <c:pt idx="0">
                  <c:v>10-19 years</c:v>
                </c:pt>
                <c:pt idx="1">
                  <c:v>20-39 years</c:v>
                </c:pt>
                <c:pt idx="2">
                  <c:v>40-59 years</c:v>
                </c:pt>
                <c:pt idx="3">
                  <c:v>60+ years</c:v>
                </c:pt>
              </c:strCache>
            </c:strRef>
          </c:cat>
          <c:val>
            <c:numRef>
              <c:f>'Data Quality'!$G$19:$G$23</c:f>
              <c:numCache>
                <c:formatCode>0.00%</c:formatCode>
                <c:ptCount val="4"/>
                <c:pt idx="0">
                  <c:v>1.532567049808429E-2</c:v>
                </c:pt>
                <c:pt idx="1">
                  <c:v>0.16858237547892721</c:v>
                </c:pt>
                <c:pt idx="2">
                  <c:v>0.19157088122605365</c:v>
                </c:pt>
                <c:pt idx="3">
                  <c:v>0.62452107279693492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4F-4891-A262-55354EA79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Annual</a:t>
            </a:r>
            <a:r>
              <a:rPr lang="en-US" baseline="0">
                <a:solidFill>
                  <a:schemeClr val="tx1"/>
                </a:solidFill>
              </a:rPr>
              <a:t> GDP growth (%)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'Spain GDP Analysis '!$G$25</c:f>
              <c:strCache>
                <c:ptCount val="1"/>
                <c:pt idx="0">
                  <c:v>GDP Growth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'Spain GDP Analysis '!$E$26:$E$89</c:f>
              <c:numCache>
                <c:formatCode>0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'Spain GDP Analysis '!$G$26:$G$89</c:f>
              <c:numCache>
                <c:formatCode>0.00</c:formatCode>
                <c:ptCount val="64"/>
                <c:pt idx="1">
                  <c:v>14.6</c:v>
                </c:pt>
                <c:pt idx="2">
                  <c:v>16.66</c:v>
                </c:pt>
                <c:pt idx="3">
                  <c:v>18.190000000000001</c:v>
                </c:pt>
                <c:pt idx="4">
                  <c:v>11.89</c:v>
                </c:pt>
                <c:pt idx="5">
                  <c:v>15.99</c:v>
                </c:pt>
                <c:pt idx="6">
                  <c:v>16.010000000000002</c:v>
                </c:pt>
                <c:pt idx="7">
                  <c:v>10.19</c:v>
                </c:pt>
                <c:pt idx="8">
                  <c:v>-0.54</c:v>
                </c:pt>
                <c:pt idx="9">
                  <c:v>14.5</c:v>
                </c:pt>
                <c:pt idx="10">
                  <c:v>10.44</c:v>
                </c:pt>
                <c:pt idx="11">
                  <c:v>13.73</c:v>
                </c:pt>
                <c:pt idx="12">
                  <c:v>26.84</c:v>
                </c:pt>
                <c:pt idx="13">
                  <c:v>32.99</c:v>
                </c:pt>
                <c:pt idx="14">
                  <c:v>23.7</c:v>
                </c:pt>
                <c:pt idx="15">
                  <c:v>17.989999999999998</c:v>
                </c:pt>
                <c:pt idx="16">
                  <c:v>3.25</c:v>
                </c:pt>
                <c:pt idx="17">
                  <c:v>11.76</c:v>
                </c:pt>
                <c:pt idx="18">
                  <c:v>21.25</c:v>
                </c:pt>
                <c:pt idx="19">
                  <c:v>33.630000000000003</c:v>
                </c:pt>
                <c:pt idx="20">
                  <c:v>8.4600000000000009</c:v>
                </c:pt>
                <c:pt idx="21">
                  <c:v>-12.87</c:v>
                </c:pt>
                <c:pt idx="22">
                  <c:v>-3.36</c:v>
                </c:pt>
                <c:pt idx="23">
                  <c:v>-12.78</c:v>
                </c:pt>
                <c:pt idx="24">
                  <c:v>0.67</c:v>
                </c:pt>
                <c:pt idx="25">
                  <c:v>5.05</c:v>
                </c:pt>
                <c:pt idx="26">
                  <c:v>39.01</c:v>
                </c:pt>
                <c:pt idx="27">
                  <c:v>26.83</c:v>
                </c:pt>
                <c:pt idx="28">
                  <c:v>18.010000000000002</c:v>
                </c:pt>
                <c:pt idx="29">
                  <c:v>10.26</c:v>
                </c:pt>
                <c:pt idx="30">
                  <c:v>29.37</c:v>
                </c:pt>
                <c:pt idx="31">
                  <c:v>7.57</c:v>
                </c:pt>
                <c:pt idx="32">
                  <c:v>9.31</c:v>
                </c:pt>
                <c:pt idx="33">
                  <c:v>-16.78</c:v>
                </c:pt>
                <c:pt idx="34">
                  <c:v>1.04</c:v>
                </c:pt>
                <c:pt idx="35">
                  <c:v>15.84</c:v>
                </c:pt>
                <c:pt idx="36">
                  <c:v>4.57</c:v>
                </c:pt>
                <c:pt idx="37">
                  <c:v>-8.18</c:v>
                </c:pt>
                <c:pt idx="38">
                  <c:v>4.92</c:v>
                </c:pt>
                <c:pt idx="39">
                  <c:v>2.5299999999999998</c:v>
                </c:pt>
                <c:pt idx="40">
                  <c:v>-5.72</c:v>
                </c:pt>
                <c:pt idx="41">
                  <c:v>4.97</c:v>
                </c:pt>
                <c:pt idx="42">
                  <c:v>12.92</c:v>
                </c:pt>
                <c:pt idx="43">
                  <c:v>28.07</c:v>
                </c:pt>
                <c:pt idx="44">
                  <c:v>17.829999999999998</c:v>
                </c:pt>
                <c:pt idx="45">
                  <c:v>7.93</c:v>
                </c:pt>
                <c:pt idx="46">
                  <c:v>9.2799999999999994</c:v>
                </c:pt>
                <c:pt idx="47">
                  <c:v>17.03</c:v>
                </c:pt>
                <c:pt idx="48">
                  <c:v>10.79</c:v>
                </c:pt>
                <c:pt idx="49">
                  <c:v>-8.5299999999999994</c:v>
                </c:pt>
                <c:pt idx="50">
                  <c:v>-4.58</c:v>
                </c:pt>
                <c:pt idx="51">
                  <c:v>4.17</c:v>
                </c:pt>
                <c:pt idx="52">
                  <c:v>-10.53</c:v>
                </c:pt>
                <c:pt idx="53">
                  <c:v>2.34</c:v>
                </c:pt>
                <c:pt idx="54">
                  <c:v>1.33</c:v>
                </c:pt>
                <c:pt idx="55">
                  <c:v>-12.61</c:v>
                </c:pt>
                <c:pt idx="56">
                  <c:v>3.06</c:v>
                </c:pt>
                <c:pt idx="57">
                  <c:v>6.33</c:v>
                </c:pt>
                <c:pt idx="58">
                  <c:v>8.31</c:v>
                </c:pt>
                <c:pt idx="59">
                  <c:v>-1.97</c:v>
                </c:pt>
                <c:pt idx="60">
                  <c:v>-8.1</c:v>
                </c:pt>
                <c:pt idx="61">
                  <c:v>13.29</c:v>
                </c:pt>
                <c:pt idx="62">
                  <c:v>-0.85</c:v>
                </c:pt>
                <c:pt idx="63">
                  <c:v>11.78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F-458E-AC9A-734D1234B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412208"/>
        <c:axId val="1131412688"/>
      </c:lineChart>
      <c:catAx>
        <c:axId val="11314122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12688"/>
        <c:crosses val="autoZero"/>
        <c:auto val="1"/>
        <c:lblAlgn val="ctr"/>
        <c:lblOffset val="100"/>
        <c:noMultiLvlLbl val="0"/>
      </c:catAx>
      <c:valAx>
        <c:axId val="11314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1220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Nominal</a:t>
            </a:r>
            <a:r>
              <a:rPr lang="en-US" baseline="0">
                <a:solidFill>
                  <a:schemeClr val="tx1"/>
                </a:solidFill>
              </a:rPr>
              <a:t> GDP (US$ billions)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'Spain GDP Analysis '!$F$25</c:f>
              <c:strCache>
                <c:ptCount val="1"/>
                <c:pt idx="0">
                  <c:v>GDP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'Spain GDP Analysis '!$E$26:$E$89</c:f>
              <c:numCache>
                <c:formatCode>0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'Spain GDP Analysis '!$F$26:$F$89</c:f>
              <c:numCache>
                <c:formatCode>0.00</c:formatCode>
                <c:ptCount val="64"/>
                <c:pt idx="0">
                  <c:v>12424514013.76</c:v>
                </c:pt>
                <c:pt idx="1">
                  <c:v>14238126759.733999</c:v>
                </c:pt>
                <c:pt idx="2">
                  <c:v>16609632790.584</c:v>
                </c:pt>
                <c:pt idx="3">
                  <c:v>19631714759.648998</c:v>
                </c:pt>
                <c:pt idx="4">
                  <c:v>21966876027.251999</c:v>
                </c:pt>
                <c:pt idx="5">
                  <c:v>25479619606.528</c:v>
                </c:pt>
                <c:pt idx="6">
                  <c:v>29559436182.918999</c:v>
                </c:pt>
                <c:pt idx="7">
                  <c:v>32570905397.289001</c:v>
                </c:pt>
                <c:pt idx="8">
                  <c:v>32394326463.758999</c:v>
                </c:pt>
                <c:pt idx="9">
                  <c:v>37090689287.855003</c:v>
                </c:pt>
                <c:pt idx="10">
                  <c:v>40963715236.511002</c:v>
                </c:pt>
                <c:pt idx="11">
                  <c:v>46586119760.478996</c:v>
                </c:pt>
                <c:pt idx="12">
                  <c:v>59090176028.992996</c:v>
                </c:pt>
                <c:pt idx="13">
                  <c:v>78583355225.585007</c:v>
                </c:pt>
                <c:pt idx="14">
                  <c:v>97204522642.054001</c:v>
                </c:pt>
                <c:pt idx="15">
                  <c:v>114695060869.565</c:v>
                </c:pt>
                <c:pt idx="16">
                  <c:v>118422534195.474</c:v>
                </c:pt>
                <c:pt idx="17">
                  <c:v>132354665936.47301</c:v>
                </c:pt>
                <c:pt idx="18">
                  <c:v>160484969618.056</c:v>
                </c:pt>
                <c:pt idx="19">
                  <c:v>214448666336.14301</c:v>
                </c:pt>
                <c:pt idx="20">
                  <c:v>232600556973.776</c:v>
                </c:pt>
                <c:pt idx="21">
                  <c:v>202663023968.28299</c:v>
                </c:pt>
                <c:pt idx="22">
                  <c:v>195856752991.065</c:v>
                </c:pt>
                <c:pt idx="23">
                  <c:v>170829074245.94</c:v>
                </c:pt>
                <c:pt idx="24">
                  <c:v>171979977230.38699</c:v>
                </c:pt>
                <c:pt idx="25">
                  <c:v>180664322896.28201</c:v>
                </c:pt>
                <c:pt idx="26">
                  <c:v>251141555185.93301</c:v>
                </c:pt>
                <c:pt idx="27">
                  <c:v>318520253335.13</c:v>
                </c:pt>
                <c:pt idx="28">
                  <c:v>375891716897.586</c:v>
                </c:pt>
                <c:pt idx="29">
                  <c:v>414460794096.97803</c:v>
                </c:pt>
                <c:pt idx="30">
                  <c:v>536175326477.31</c:v>
                </c:pt>
                <c:pt idx="31">
                  <c:v>576753902321.85706</c:v>
                </c:pt>
                <c:pt idx="32">
                  <c:v>630465353486.104</c:v>
                </c:pt>
                <c:pt idx="33">
                  <c:v>524700572623.87201</c:v>
                </c:pt>
                <c:pt idx="34">
                  <c:v>530183651720.28302</c:v>
                </c:pt>
                <c:pt idx="35">
                  <c:v>614170002668.802</c:v>
                </c:pt>
                <c:pt idx="36">
                  <c:v>642251412058.32104</c:v>
                </c:pt>
                <c:pt idx="37">
                  <c:v>589739772727.27295</c:v>
                </c:pt>
                <c:pt idx="38">
                  <c:v>618731484575.12</c:v>
                </c:pt>
                <c:pt idx="39">
                  <c:v>634394904386.87402</c:v>
                </c:pt>
                <c:pt idx="40">
                  <c:v>598102854756.07996</c:v>
                </c:pt>
                <c:pt idx="41">
                  <c:v>627798682378.74097</c:v>
                </c:pt>
                <c:pt idx="42">
                  <c:v>708938227243.92297</c:v>
                </c:pt>
                <c:pt idx="43">
                  <c:v>907963217057.64502</c:v>
                </c:pt>
                <c:pt idx="44">
                  <c:v>1069829382514.67</c:v>
                </c:pt>
                <c:pt idx="45">
                  <c:v>1154667551775.8799</c:v>
                </c:pt>
                <c:pt idx="46">
                  <c:v>1261846683275.29</c:v>
                </c:pt>
                <c:pt idx="47">
                  <c:v>1476746276854.51</c:v>
                </c:pt>
                <c:pt idx="48">
                  <c:v>1636115447612.5</c:v>
                </c:pt>
                <c:pt idx="49">
                  <c:v>1496587590847.6599</c:v>
                </c:pt>
                <c:pt idx="50">
                  <c:v>1427989078916.6699</c:v>
                </c:pt>
                <c:pt idx="51">
                  <c:v>1487568659241.25</c:v>
                </c:pt>
                <c:pt idx="52">
                  <c:v>1330994811670.3101</c:v>
                </c:pt>
                <c:pt idx="53">
                  <c:v>1362186923157.6499</c:v>
                </c:pt>
                <c:pt idx="54">
                  <c:v>1380244561361.96</c:v>
                </c:pt>
                <c:pt idx="55">
                  <c:v>1206164777553.1201</c:v>
                </c:pt>
                <c:pt idx="56">
                  <c:v>1243015667917.1201</c:v>
                </c:pt>
                <c:pt idx="57">
                  <c:v>1321754088818.8301</c:v>
                </c:pt>
                <c:pt idx="58">
                  <c:v>1431642809327.0601</c:v>
                </c:pt>
                <c:pt idx="59">
                  <c:v>1403496387686.27</c:v>
                </c:pt>
                <c:pt idx="60">
                  <c:v>1289783836971.21</c:v>
                </c:pt>
                <c:pt idx="61">
                  <c:v>1461244901852.6899</c:v>
                </c:pt>
                <c:pt idx="62">
                  <c:v>1448850658406.6201</c:v>
                </c:pt>
                <c:pt idx="63">
                  <c:v>1619481980719.6399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3-4322-B105-B002D129B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352688"/>
        <c:axId val="1131363248"/>
      </c:lineChart>
      <c:catAx>
        <c:axId val="113135268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63248"/>
        <c:crosses val="autoZero"/>
        <c:auto val="1"/>
        <c:lblAlgn val="ctr"/>
        <c:lblOffset val="100"/>
        <c:noMultiLvlLbl val="0"/>
      </c:catAx>
      <c:valAx>
        <c:axId val="113136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526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2.2346840561451174E-2"/>
                <c:y val="0.39783727594567697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Billion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Cumulative</a:t>
            </a:r>
            <a:r>
              <a:rPr lang="en-US" baseline="0">
                <a:solidFill>
                  <a:schemeClr val="tx1"/>
                </a:solidFill>
              </a:rPr>
              <a:t> CAGR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'Spain GDP Analysis '!$H$25</c:f>
              <c:strCache>
                <c:ptCount val="1"/>
                <c:pt idx="0">
                  <c:v>CAGR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'Spain GDP Analysis '!$E$26:$E$89</c:f>
              <c:numCache>
                <c:formatCode>0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'Spain GDP Analysis '!$H$26:$H$89</c:f>
              <c:numCache>
                <c:formatCode>0.00</c:formatCode>
                <c:ptCount val="64"/>
                <c:pt idx="1">
                  <c:v>0.14599999999999999</c:v>
                </c:pt>
                <c:pt idx="2">
                  <c:v>0.15620000000000001</c:v>
                </c:pt>
                <c:pt idx="3">
                  <c:v>0.16470000000000001</c:v>
                </c:pt>
                <c:pt idx="4">
                  <c:v>0.15310000000000001</c:v>
                </c:pt>
                <c:pt idx="5">
                  <c:v>0.1545</c:v>
                </c:pt>
                <c:pt idx="6">
                  <c:v>0.15540000000000001</c:v>
                </c:pt>
                <c:pt idx="7">
                  <c:v>0.14760000000000001</c:v>
                </c:pt>
                <c:pt idx="8">
                  <c:v>0.1273</c:v>
                </c:pt>
                <c:pt idx="9">
                  <c:v>0.12920000000000001</c:v>
                </c:pt>
                <c:pt idx="10">
                  <c:v>0.12670000000000001</c:v>
                </c:pt>
                <c:pt idx="11">
                  <c:v>0.12770000000000001</c:v>
                </c:pt>
                <c:pt idx="12">
                  <c:v>0.13880000000000001</c:v>
                </c:pt>
                <c:pt idx="13">
                  <c:v>0.15240000000000001</c:v>
                </c:pt>
                <c:pt idx="14">
                  <c:v>0.1583</c:v>
                </c:pt>
                <c:pt idx="15">
                  <c:v>0.15970000000000001</c:v>
                </c:pt>
                <c:pt idx="16">
                  <c:v>0.15129999999999999</c:v>
                </c:pt>
                <c:pt idx="17">
                  <c:v>0.14929999999999999</c:v>
                </c:pt>
                <c:pt idx="18">
                  <c:v>0.1527</c:v>
                </c:pt>
                <c:pt idx="19">
                  <c:v>0.16170000000000001</c:v>
                </c:pt>
                <c:pt idx="20">
                  <c:v>0.1578</c:v>
                </c:pt>
                <c:pt idx="21">
                  <c:v>0.14219999999999999</c:v>
                </c:pt>
                <c:pt idx="22">
                  <c:v>0.13350000000000001</c:v>
                </c:pt>
                <c:pt idx="23">
                  <c:v>0.1207</c:v>
                </c:pt>
                <c:pt idx="24">
                  <c:v>0.1157</c:v>
                </c:pt>
                <c:pt idx="25">
                  <c:v>0.113</c:v>
                </c:pt>
                <c:pt idx="26">
                  <c:v>0.1226</c:v>
                </c:pt>
                <c:pt idx="27">
                  <c:v>0.12770000000000001</c:v>
                </c:pt>
                <c:pt idx="28">
                  <c:v>0.1295</c:v>
                </c:pt>
                <c:pt idx="29">
                  <c:v>0.12859999999999999</c:v>
                </c:pt>
                <c:pt idx="30">
                  <c:v>0.13370000000000001</c:v>
                </c:pt>
                <c:pt idx="31">
                  <c:v>0.1318</c:v>
                </c:pt>
                <c:pt idx="32">
                  <c:v>0.13059999999999999</c:v>
                </c:pt>
                <c:pt idx="33">
                  <c:v>0.1201</c:v>
                </c:pt>
                <c:pt idx="34">
                  <c:v>0.1167</c:v>
                </c:pt>
                <c:pt idx="35">
                  <c:v>0.1179</c:v>
                </c:pt>
                <c:pt idx="36">
                  <c:v>0.1158</c:v>
                </c:pt>
                <c:pt idx="37">
                  <c:v>0.11</c:v>
                </c:pt>
                <c:pt idx="38">
                  <c:v>0.10829999999999999</c:v>
                </c:pt>
                <c:pt idx="39">
                  <c:v>0.1061</c:v>
                </c:pt>
                <c:pt idx="40">
                  <c:v>0.1017</c:v>
                </c:pt>
                <c:pt idx="41">
                  <c:v>0.1004</c:v>
                </c:pt>
                <c:pt idx="42">
                  <c:v>0.1011</c:v>
                </c:pt>
                <c:pt idx="43">
                  <c:v>0.105</c:v>
                </c:pt>
                <c:pt idx="44">
                  <c:v>0.1066</c:v>
                </c:pt>
                <c:pt idx="45">
                  <c:v>0.106</c:v>
                </c:pt>
                <c:pt idx="46">
                  <c:v>0.1057</c:v>
                </c:pt>
                <c:pt idx="47">
                  <c:v>0.107</c:v>
                </c:pt>
                <c:pt idx="48">
                  <c:v>0.107</c:v>
                </c:pt>
                <c:pt idx="49">
                  <c:v>0.1027</c:v>
                </c:pt>
                <c:pt idx="50">
                  <c:v>9.9500000000000005E-2</c:v>
                </c:pt>
                <c:pt idx="51">
                  <c:v>9.8400000000000001E-2</c:v>
                </c:pt>
                <c:pt idx="52">
                  <c:v>9.4E-2</c:v>
                </c:pt>
                <c:pt idx="53">
                  <c:v>9.2700000000000005E-2</c:v>
                </c:pt>
                <c:pt idx="54">
                  <c:v>9.11E-2</c:v>
                </c:pt>
                <c:pt idx="55">
                  <c:v>8.6699999999999999E-2</c:v>
                </c:pt>
                <c:pt idx="56">
                  <c:v>8.5699999999999998E-2</c:v>
                </c:pt>
                <c:pt idx="57">
                  <c:v>8.5300000000000001E-2</c:v>
                </c:pt>
                <c:pt idx="58">
                  <c:v>8.5300000000000001E-2</c:v>
                </c:pt>
                <c:pt idx="59">
                  <c:v>8.3400000000000002E-2</c:v>
                </c:pt>
                <c:pt idx="60">
                  <c:v>8.0399999999999999E-2</c:v>
                </c:pt>
                <c:pt idx="61">
                  <c:v>8.1299999999999997E-2</c:v>
                </c:pt>
                <c:pt idx="62">
                  <c:v>7.9799999999999996E-2</c:v>
                </c:pt>
                <c:pt idx="63">
                  <c:v>8.0399999999999999E-2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3-4D48-AB02-F97D34121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484208"/>
        <c:axId val="2055484688"/>
      </c:lineChart>
      <c:catAx>
        <c:axId val="20554842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84688"/>
        <c:crosses val="autoZero"/>
        <c:auto val="1"/>
        <c:lblAlgn val="ctr"/>
        <c:lblOffset val="100"/>
        <c:noMultiLvlLbl val="0"/>
      </c:catAx>
      <c:valAx>
        <c:axId val="205548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484208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10-Year</a:t>
            </a:r>
            <a:r>
              <a:rPr lang="en-US" baseline="0"/>
              <a:t> CAGR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'Spain 10 Year CAGR'!$H$15</c:f>
              <c:strCache>
                <c:ptCount val="1"/>
                <c:pt idx="0">
                  <c:v>CAGR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'Spain 10 Year CAGR'!$E$16:$E$21</c:f>
              <c:strCache>
                <c:ptCount val="6"/>
                <c:pt idx="0">
                  <c:v>1960-1970</c:v>
                </c:pt>
                <c:pt idx="1">
                  <c:v>1970-1980</c:v>
                </c:pt>
                <c:pt idx="2">
                  <c:v>1980-1990</c:v>
                </c:pt>
                <c:pt idx="3">
                  <c:v>1990-2000</c:v>
                </c:pt>
                <c:pt idx="4">
                  <c:v>2000-2010</c:v>
                </c:pt>
                <c:pt idx="5">
                  <c:v>2010-2020</c:v>
                </c:pt>
              </c:strCache>
            </c:strRef>
          </c:cat>
          <c:val>
            <c:numRef>
              <c:f>'Spain 10 Year CAGR'!$H$16:$H$21</c:f>
              <c:numCache>
                <c:formatCode>0.00</c:formatCode>
                <c:ptCount val="6"/>
                <c:pt idx="0">
                  <c:v>0.12670000000000001</c:v>
                </c:pt>
                <c:pt idx="1">
                  <c:v>0.18970000000000001</c:v>
                </c:pt>
                <c:pt idx="2">
                  <c:v>8.7099999999999997E-2</c:v>
                </c:pt>
                <c:pt idx="3">
                  <c:v>1.0999999999999999E-2</c:v>
                </c:pt>
                <c:pt idx="4">
                  <c:v>9.0899999999999995E-2</c:v>
                </c:pt>
                <c:pt idx="5">
                  <c:v>-1.01E-2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F7-41FA-A858-9C89C8552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784704"/>
        <c:axId val="1132794784"/>
      </c:barChart>
      <c:catAx>
        <c:axId val="113278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94784"/>
        <c:crosses val="autoZero"/>
        <c:auto val="1"/>
        <c:lblAlgn val="ctr"/>
        <c:lblOffset val="100"/>
        <c:noMultiLvlLbl val="0"/>
      </c:catAx>
      <c:valAx>
        <c:axId val="113279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8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</a:t>
            </a:r>
            <a:r>
              <a:rPr lang="en-US" baseline="0"/>
              <a:t> 10-Year CAGR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rolling_cagr_table!$F$1</c:f>
              <c:strCache>
                <c:ptCount val="1"/>
                <c:pt idx="0">
                  <c:v>rolling_10y_cagr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rolling_cagr_table!$C$2:$C$57</c:f>
              <c:strCache>
                <c:ptCount val="56"/>
                <c:pt idx="0">
                  <c:v>1960-1970</c:v>
                </c:pt>
                <c:pt idx="1">
                  <c:v>1961-1971</c:v>
                </c:pt>
                <c:pt idx="2">
                  <c:v>1962-1972</c:v>
                </c:pt>
                <c:pt idx="3">
                  <c:v>1963-1973</c:v>
                </c:pt>
                <c:pt idx="4">
                  <c:v>1964-1974</c:v>
                </c:pt>
                <c:pt idx="5">
                  <c:v>1965-1975</c:v>
                </c:pt>
                <c:pt idx="6">
                  <c:v>1966-1976</c:v>
                </c:pt>
                <c:pt idx="7">
                  <c:v>1967-1977</c:v>
                </c:pt>
                <c:pt idx="8">
                  <c:v>1968-1978</c:v>
                </c:pt>
                <c:pt idx="9">
                  <c:v>1969-1979</c:v>
                </c:pt>
                <c:pt idx="10">
                  <c:v>1970-1980</c:v>
                </c:pt>
                <c:pt idx="11">
                  <c:v>1971-1981</c:v>
                </c:pt>
                <c:pt idx="12">
                  <c:v>1972-1982</c:v>
                </c:pt>
                <c:pt idx="13">
                  <c:v>1973-1983</c:v>
                </c:pt>
                <c:pt idx="14">
                  <c:v>1974-1984</c:v>
                </c:pt>
                <c:pt idx="15">
                  <c:v>1975-1985</c:v>
                </c:pt>
                <c:pt idx="16">
                  <c:v>1976-1986</c:v>
                </c:pt>
                <c:pt idx="17">
                  <c:v>1977-1987</c:v>
                </c:pt>
                <c:pt idx="18">
                  <c:v>1978-1988</c:v>
                </c:pt>
                <c:pt idx="19">
                  <c:v>1979-1989</c:v>
                </c:pt>
                <c:pt idx="20">
                  <c:v>1980-1990</c:v>
                </c:pt>
                <c:pt idx="21">
                  <c:v>1981-1991</c:v>
                </c:pt>
                <c:pt idx="22">
                  <c:v>1982-1992</c:v>
                </c:pt>
                <c:pt idx="23">
                  <c:v>1983-1993</c:v>
                </c:pt>
                <c:pt idx="24">
                  <c:v>1984-1994</c:v>
                </c:pt>
                <c:pt idx="25">
                  <c:v>1985-1995</c:v>
                </c:pt>
                <c:pt idx="26">
                  <c:v>1986-1996</c:v>
                </c:pt>
                <c:pt idx="27">
                  <c:v>1987-1997</c:v>
                </c:pt>
                <c:pt idx="28">
                  <c:v>1988-1998</c:v>
                </c:pt>
                <c:pt idx="29">
                  <c:v>1989-1999</c:v>
                </c:pt>
                <c:pt idx="30">
                  <c:v>1990-2000</c:v>
                </c:pt>
                <c:pt idx="31">
                  <c:v>1991-2001</c:v>
                </c:pt>
                <c:pt idx="32">
                  <c:v>1992-2002</c:v>
                </c:pt>
                <c:pt idx="33">
                  <c:v>1993-2003</c:v>
                </c:pt>
                <c:pt idx="34">
                  <c:v>1994-2004</c:v>
                </c:pt>
                <c:pt idx="35">
                  <c:v>1995-2005</c:v>
                </c:pt>
                <c:pt idx="36">
                  <c:v>1996-2006</c:v>
                </c:pt>
                <c:pt idx="37">
                  <c:v>1997-2007</c:v>
                </c:pt>
                <c:pt idx="38">
                  <c:v>1998-2008</c:v>
                </c:pt>
                <c:pt idx="39">
                  <c:v>1999-2009</c:v>
                </c:pt>
                <c:pt idx="40">
                  <c:v>2000-2010</c:v>
                </c:pt>
                <c:pt idx="41">
                  <c:v>2001-2011</c:v>
                </c:pt>
                <c:pt idx="42">
                  <c:v>2002-2012</c:v>
                </c:pt>
                <c:pt idx="43">
                  <c:v>2003-2013</c:v>
                </c:pt>
                <c:pt idx="44">
                  <c:v>2004-2014</c:v>
                </c:pt>
                <c:pt idx="45">
                  <c:v>2005-2015</c:v>
                </c:pt>
                <c:pt idx="46">
                  <c:v>2006-2016</c:v>
                </c:pt>
                <c:pt idx="47">
                  <c:v>2007-2017</c:v>
                </c:pt>
                <c:pt idx="48">
                  <c:v>2008-2018</c:v>
                </c:pt>
                <c:pt idx="49">
                  <c:v>2009-2019</c:v>
                </c:pt>
                <c:pt idx="50">
                  <c:v>2010-2020</c:v>
                </c:pt>
                <c:pt idx="51">
                  <c:v>2011-2021</c:v>
                </c:pt>
                <c:pt idx="52">
                  <c:v>2012-2022</c:v>
                </c:pt>
                <c:pt idx="53">
                  <c:v>2013-2023</c:v>
                </c:pt>
                <c:pt idx="54">
                  <c:v>2014-2024</c:v>
                </c:pt>
                <c:pt idx="55">
                  <c:v>2015-2025</c:v>
                </c:pt>
              </c:strCache>
            </c:strRef>
          </c:cat>
          <c:val>
            <c:numRef>
              <c:f>rolling_cagr_table!$F$2:$F$57</c:f>
              <c:numCache>
                <c:formatCode>0.00</c:formatCode>
                <c:ptCount val="56"/>
                <c:pt idx="0">
                  <c:v>0.12670000000000001</c:v>
                </c:pt>
                <c:pt idx="1">
                  <c:v>0.1258</c:v>
                </c:pt>
                <c:pt idx="2">
                  <c:v>0.1353</c:v>
                </c:pt>
                <c:pt idx="3">
                  <c:v>0.14879999999999999</c:v>
                </c:pt>
                <c:pt idx="4">
                  <c:v>0.16039999999999999</c:v>
                </c:pt>
                <c:pt idx="5">
                  <c:v>0.1623</c:v>
                </c:pt>
                <c:pt idx="6">
                  <c:v>0.1489</c:v>
                </c:pt>
                <c:pt idx="7">
                  <c:v>0.15049999999999999</c:v>
                </c:pt>
                <c:pt idx="8">
                  <c:v>0.17349999999999999</c:v>
                </c:pt>
                <c:pt idx="9">
                  <c:v>0.1918</c:v>
                </c:pt>
                <c:pt idx="10">
                  <c:v>0.18970000000000001</c:v>
                </c:pt>
                <c:pt idx="11">
                  <c:v>0.15840000000000001</c:v>
                </c:pt>
                <c:pt idx="12">
                  <c:v>0.1273</c:v>
                </c:pt>
                <c:pt idx="13">
                  <c:v>8.0699999999999994E-2</c:v>
                </c:pt>
                <c:pt idx="14">
                  <c:v>5.8700000000000002E-2</c:v>
                </c:pt>
                <c:pt idx="15">
                  <c:v>4.65E-2</c:v>
                </c:pt>
                <c:pt idx="16">
                  <c:v>7.8100000000000003E-2</c:v>
                </c:pt>
                <c:pt idx="17">
                  <c:v>9.1800000000000007E-2</c:v>
                </c:pt>
                <c:pt idx="18">
                  <c:v>8.8800000000000004E-2</c:v>
                </c:pt>
                <c:pt idx="19">
                  <c:v>6.8099999999999994E-2</c:v>
                </c:pt>
                <c:pt idx="20">
                  <c:v>8.7099999999999997E-2</c:v>
                </c:pt>
                <c:pt idx="21">
                  <c:v>0.1103</c:v>
                </c:pt>
                <c:pt idx="22">
                  <c:v>0.124</c:v>
                </c:pt>
                <c:pt idx="23">
                  <c:v>0.1188</c:v>
                </c:pt>
                <c:pt idx="24">
                  <c:v>0.1192</c:v>
                </c:pt>
                <c:pt idx="25">
                  <c:v>0.13020000000000001</c:v>
                </c:pt>
                <c:pt idx="26">
                  <c:v>9.8400000000000001E-2</c:v>
                </c:pt>
                <c:pt idx="27">
                  <c:v>6.3500000000000001E-2</c:v>
                </c:pt>
                <c:pt idx="28">
                  <c:v>5.11E-2</c:v>
                </c:pt>
                <c:pt idx="29">
                  <c:v>4.3499999999999997E-2</c:v>
                </c:pt>
                <c:pt idx="30">
                  <c:v>1.0999999999999999E-2</c:v>
                </c:pt>
                <c:pt idx="31">
                  <c:v>8.5000000000000006E-3</c:v>
                </c:pt>
                <c:pt idx="32">
                  <c:v>1.18E-2</c:v>
                </c:pt>
                <c:pt idx="33">
                  <c:v>5.6399999999999999E-2</c:v>
                </c:pt>
                <c:pt idx="34">
                  <c:v>7.2700000000000001E-2</c:v>
                </c:pt>
                <c:pt idx="35">
                  <c:v>6.5199999999999994E-2</c:v>
                </c:pt>
                <c:pt idx="36">
                  <c:v>6.9900000000000004E-2</c:v>
                </c:pt>
                <c:pt idx="37">
                  <c:v>9.6100000000000005E-2</c:v>
                </c:pt>
                <c:pt idx="38">
                  <c:v>0.1021</c:v>
                </c:pt>
                <c:pt idx="39">
                  <c:v>8.9599999999999999E-2</c:v>
                </c:pt>
                <c:pt idx="40">
                  <c:v>9.0899999999999995E-2</c:v>
                </c:pt>
                <c:pt idx="41">
                  <c:v>9.01E-2</c:v>
                </c:pt>
                <c:pt idx="42">
                  <c:v>6.5000000000000002E-2</c:v>
                </c:pt>
                <c:pt idx="43">
                  <c:v>4.1399999999999999E-2</c:v>
                </c:pt>
                <c:pt idx="44">
                  <c:v>2.58E-2</c:v>
                </c:pt>
                <c:pt idx="45">
                  <c:v>4.4000000000000003E-3</c:v>
                </c:pt>
                <c:pt idx="46">
                  <c:v>-1.5E-3</c:v>
                </c:pt>
                <c:pt idx="47">
                  <c:v>-1.0999999999999999E-2</c:v>
                </c:pt>
                <c:pt idx="48">
                  <c:v>-1.3299999999999999E-2</c:v>
                </c:pt>
                <c:pt idx="49">
                  <c:v>-6.4000000000000003E-3</c:v>
                </c:pt>
                <c:pt idx="50">
                  <c:v>-1.01E-2</c:v>
                </c:pt>
                <c:pt idx="51">
                  <c:v>-1.8E-3</c:v>
                </c:pt>
                <c:pt idx="52">
                  <c:v>8.5000000000000006E-3</c:v>
                </c:pt>
                <c:pt idx="53">
                  <c:v>1.7500000000000002E-2</c:v>
                </c:pt>
                <c:pt idx="54">
                  <c:v>2.2599999999999999E-2</c:v>
                </c:pt>
                <c:pt idx="55">
                  <c:v>4.6800000000000001E-2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0-4DEA-B365-E8175CBD9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792864"/>
        <c:axId val="1132800544"/>
      </c:lineChart>
      <c:catAx>
        <c:axId val="113279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800544"/>
        <c:crosses val="autoZero"/>
        <c:auto val="1"/>
        <c:lblAlgn val="ctr"/>
        <c:lblOffset val="100"/>
        <c:noMultiLvlLbl val="0"/>
      </c:catAx>
      <c:valAx>
        <c:axId val="11328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9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10244</xdr:colOff>
      <xdr:row>3</xdr:row>
      <xdr:rowOff>184354</xdr:rowOff>
    </xdr:from>
    <xdr:to>
      <xdr:col>14</xdr:col>
      <xdr:colOff>10245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2A45CE-4799-4C08-AC52-0FFB0034F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1338649</xdr:colOff>
      <xdr:row>11</xdr:row>
      <xdr:rowOff>122903</xdr:rowOff>
    </xdr:from>
    <xdr:to>
      <xdr:col>3</xdr:col>
      <xdr:colOff>1372418</xdr:colOff>
      <xdr:row>22</xdr:row>
      <xdr:rowOff>194597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6F39D2-0423-44A3-BD7C-576FCE50D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10584</xdr:colOff>
      <xdr:row>13</xdr:row>
      <xdr:rowOff>10582</xdr:rowOff>
    </xdr:from>
    <xdr:to>
      <xdr:col>6</xdr:col>
      <xdr:colOff>0</xdr:colOff>
      <xdr:row>20</xdr:row>
      <xdr:rowOff>196499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3907BD-EAC0-8936-95FB-5440C85E7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3307</xdr:colOff>
      <xdr:row>1</xdr:row>
      <xdr:rowOff>185869</xdr:rowOff>
    </xdr:from>
    <xdr:to>
      <xdr:col>9</xdr:col>
      <xdr:colOff>10584</xdr:colOff>
      <xdr:row>11</xdr:row>
      <xdr:rowOff>185869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18CACE-346C-4C08-9D7E-25B1936AC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730251</xdr:colOff>
      <xdr:row>13</xdr:row>
      <xdr:rowOff>10584</xdr:rowOff>
    </xdr:from>
    <xdr:to>
      <xdr:col>8</xdr:col>
      <xdr:colOff>718617</xdr:colOff>
      <xdr:row>20</xdr:row>
      <xdr:rowOff>198013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F0E42BA-A099-4C23-984F-8D79CF4FE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15535</xdr:colOff>
      <xdr:row>2</xdr:row>
      <xdr:rowOff>0</xdr:rowOff>
    </xdr:from>
    <xdr:to>
      <xdr:col>11</xdr:col>
      <xdr:colOff>1</xdr:colOff>
      <xdr:row>16</xdr:row>
      <xdr:rowOff>179917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4AE4C6-5539-AEFC-13E6-57A32ED28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1375832</xdr:colOff>
      <xdr:row>2</xdr:row>
      <xdr:rowOff>10583</xdr:rowOff>
    </xdr:from>
    <xdr:to>
      <xdr:col>7</xdr:col>
      <xdr:colOff>1375833</xdr:colOff>
      <xdr:row>13</xdr:row>
      <xdr:rowOff>21166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7B8A36-D1F1-4371-BDDF-8C6401804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WBP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se" refreshedDate="46231.097478240743" createdVersion="8" refreshedVersion="8" minRefreshableVersion="3" recordCount="261" xr:uid="{5D60BB7C-A014-4925-8168-999044691BCF}">
  <cacheSource type="worksheet">
    <worksheetSource name="cv" r:id="rId2"/>
  </cacheSource>
  <cacheFields count="4">
    <cacheField name="iso_code" numFmtId="0">
      <sharedItems/>
    </cacheField>
    <cacheField name="indicator_code" numFmtId="0">
      <sharedItems/>
    </cacheField>
    <cacheField name="coverage_rate" numFmtId="0">
      <sharedItems/>
    </cacheField>
    <cacheField name="coverage_quality" numFmtId="0">
      <sharedItems count="5">
        <s v="full_coverage"/>
        <s v="high_coverage"/>
        <s v="medium_coverage"/>
        <s v="low_coverage"/>
        <s v="poor_co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se" refreshedDate="46231.122512847222" createdVersion="8" refreshedVersion="8" minRefreshableVersion="3" recordCount="4" xr:uid="{F0D8DD8B-A62A-477A-B41C-86F8A76E61EB}">
  <cacheSource type="worksheet">
    <worksheetSource ref="I15:J16" sheet="Data Quality"/>
  </cacheSource>
  <cacheFields count="2">
    <cacheField name="Etiquetas de fila" numFmtId="0">
      <sharedItems count="4">
        <s v="10-19 years"/>
        <s v="20-39 years"/>
        <s v="40-59 years"/>
        <s v="60+ years"/>
      </sharedItems>
    </cacheField>
    <cacheField name="Suma de count" numFmtId="0">
      <sharedItems containsSemiMixedTypes="0" containsString="0" containsNumber="1" containsInteger="1" minValue="4" maxValue="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s v="EUU"/>
    <s v="NY.GDP.MKTP.CD"/>
    <s v="100.00"/>
    <x v="0"/>
  </r>
  <r>
    <s v="SLB"/>
    <s v="NY.GDP.MKTP.CD"/>
    <s v="98.31"/>
    <x v="1"/>
  </r>
  <r>
    <s v="IBT"/>
    <s v="NY.GDP.MKTP.CD"/>
    <s v="100.00"/>
    <x v="0"/>
  </r>
  <r>
    <s v="CIV"/>
    <s v="NY.GDP.MKTP.CD"/>
    <s v="100.00"/>
    <x v="0"/>
  </r>
  <r>
    <s v="XKX"/>
    <s v="NY.GDP.MKTP.CD"/>
    <s v="100.00"/>
    <x v="0"/>
  </r>
  <r>
    <s v="KHM"/>
    <s v="NY.GDP.MKTP.CD"/>
    <s v="100.00"/>
    <x v="0"/>
  </r>
  <r>
    <s v="TTO"/>
    <s v="NY.GDP.MKTP.CD"/>
    <s v="100.00"/>
    <x v="0"/>
  </r>
  <r>
    <s v="ASM"/>
    <s v="NY.GDP.MKTP.CD"/>
    <s v="87.50"/>
    <x v="1"/>
  </r>
  <r>
    <s v="CPV"/>
    <s v="NY.GDP.MKTP.CD"/>
    <s v="100.00"/>
    <x v="0"/>
  </r>
  <r>
    <s v="COM"/>
    <s v="NY.GDP.MKTP.CD"/>
    <s v="100.00"/>
    <x v="0"/>
  </r>
  <r>
    <s v="SLV"/>
    <s v="NY.GDP.MKTP.CD"/>
    <s v="100.00"/>
    <x v="0"/>
  </r>
  <r>
    <s v="EMU"/>
    <s v="NY.GDP.MKTP.CD"/>
    <s v="100.00"/>
    <x v="0"/>
  </r>
  <r>
    <s v="ARE"/>
    <s v="NY.GDP.MKTP.CD"/>
    <s v="98.21"/>
    <x v="1"/>
  </r>
  <r>
    <s v="DZA"/>
    <s v="NY.GDP.MKTP.CD"/>
    <s v="100.00"/>
    <x v="0"/>
  </r>
  <r>
    <s v="BWA"/>
    <s v="NY.GDP.MKTP.CD"/>
    <s v="100.00"/>
    <x v="0"/>
  </r>
  <r>
    <s v="WSM"/>
    <s v="NY.GDP.MKTP.CD"/>
    <s v="100.00"/>
    <x v="0"/>
  </r>
  <r>
    <s v="THA"/>
    <s v="NY.GDP.MKTP.CD"/>
    <s v="100.00"/>
    <x v="0"/>
  </r>
  <r>
    <s v="VEN"/>
    <s v="NY.GDP.MKTP.CD"/>
    <s v="100.00"/>
    <x v="0"/>
  </r>
  <r>
    <s v="GUM"/>
    <s v="NY.GDP.MKTP.CD"/>
    <s v="87.50"/>
    <x v="1"/>
  </r>
  <r>
    <s v="TUR"/>
    <s v="NY.GDP.MKTP.CD"/>
    <s v="100.00"/>
    <x v="0"/>
  </r>
  <r>
    <s v="TJK"/>
    <s v="NY.GDP.MKTP.CD"/>
    <s v="100.00"/>
    <x v="0"/>
  </r>
  <r>
    <s v="GRL"/>
    <s v="NY.GDP.MKTP.CD"/>
    <s v="96.43"/>
    <x v="1"/>
  </r>
  <r>
    <s v="LBY"/>
    <s v="NY.GDP.MKTP.CD"/>
    <s v="100.00"/>
    <x v="0"/>
  </r>
  <r>
    <s v="IMN"/>
    <s v="NY.GDP.MKTP.CD"/>
    <s v="95.24"/>
    <x v="1"/>
  </r>
  <r>
    <s v="IDB"/>
    <s v="NY.GDP.MKTP.CD"/>
    <s v="100.00"/>
    <x v="0"/>
  </r>
  <r>
    <s v="MUS"/>
    <s v="NY.GDP.MKTP.CD"/>
    <s v="100.00"/>
    <x v="0"/>
  </r>
  <r>
    <s v="BGR"/>
    <s v="NY.GDP.MKTP.CD"/>
    <s v="100.00"/>
    <x v="0"/>
  </r>
  <r>
    <s v="SYR"/>
    <s v="NY.GDP.MKTP.CD"/>
    <s v="95.45"/>
    <x v="1"/>
  </r>
  <r>
    <s v="EAP"/>
    <s v="NY.GDP.MKTP.CD"/>
    <s v="100.00"/>
    <x v="0"/>
  </r>
  <r>
    <s v="BTN"/>
    <s v="NY.GDP.MKTP.CD"/>
    <s v="100.00"/>
    <x v="0"/>
  </r>
  <r>
    <s v="AGO"/>
    <s v="NY.GDP.MKTP.CD"/>
    <s v="100.00"/>
    <x v="0"/>
  </r>
  <r>
    <s v="UMC"/>
    <s v="NY.GDP.MKTP.CD"/>
    <s v="100.00"/>
    <x v="0"/>
  </r>
  <r>
    <s v="LTE"/>
    <s v="NY.GDP.MKTP.CD"/>
    <s v="100.00"/>
    <x v="0"/>
  </r>
  <r>
    <s v="LSO"/>
    <s v="NY.GDP.MKTP.CD"/>
    <s v="100.00"/>
    <x v="0"/>
  </r>
  <r>
    <s v="UKR"/>
    <s v="NY.GDP.MKTP.CD"/>
    <s v="100.00"/>
    <x v="0"/>
  </r>
  <r>
    <s v="NGA"/>
    <s v="NY.GDP.MKTP.CD"/>
    <s v="100.00"/>
    <x v="0"/>
  </r>
  <r>
    <s v="BRA"/>
    <s v="NY.GDP.MKTP.CD"/>
    <s v="100.00"/>
    <x v="0"/>
  </r>
  <r>
    <s v="SWZ"/>
    <s v="NY.GDP.MKTP.CD"/>
    <s v="100.00"/>
    <x v="0"/>
  </r>
  <r>
    <s v="TSS"/>
    <s v="NY.GDP.MKTP.CD"/>
    <s v="100.00"/>
    <x v="0"/>
  </r>
  <r>
    <s v="KEN"/>
    <s v="NY.GDP.MKTP.CD"/>
    <s v="100.00"/>
    <x v="0"/>
  </r>
  <r>
    <s v="PRE"/>
    <s v="NY.GDP.MKTP.CD"/>
    <s v="100.00"/>
    <x v="0"/>
  </r>
  <r>
    <s v="SSA"/>
    <s v="NY.GDP.MKTP.CD"/>
    <s v="100.00"/>
    <x v="0"/>
  </r>
  <r>
    <s v="ISR"/>
    <s v="NY.GDP.MKTP.CD"/>
    <s v="100.00"/>
    <x v="0"/>
  </r>
  <r>
    <s v="LCN"/>
    <s v="NY.GDP.MKTP.CD"/>
    <s v="100.00"/>
    <x v="0"/>
  </r>
  <r>
    <s v="MNE"/>
    <s v="NY.GDP.MKTP.CD"/>
    <s v="100.00"/>
    <x v="0"/>
  </r>
  <r>
    <s v="CEB"/>
    <s v="NY.GDP.MKTP.CD"/>
    <s v="100.00"/>
    <x v="0"/>
  </r>
  <r>
    <s v="TMN"/>
    <s v="NY.GDP.MKTP.CD"/>
    <s v="100.00"/>
    <x v="0"/>
  </r>
  <r>
    <s v="HKG"/>
    <s v="NY.GDP.MKTP.CD"/>
    <s v="100.00"/>
    <x v="0"/>
  </r>
  <r>
    <s v="CAF"/>
    <s v="NY.GDP.MKTP.CD"/>
    <s v="100.00"/>
    <x v="0"/>
  </r>
  <r>
    <s v="LBR"/>
    <s v="NY.GDP.MKTP.CD"/>
    <s v="100.00"/>
    <x v="0"/>
  </r>
  <r>
    <s v="GAB"/>
    <s v="NY.GDP.MKTP.CD"/>
    <s v="100.00"/>
    <x v="0"/>
  </r>
  <r>
    <s v="SSF"/>
    <s v="NY.GDP.MKTP.CD"/>
    <s v="100.00"/>
    <x v="0"/>
  </r>
  <r>
    <s v="IBD"/>
    <s v="NY.GDP.MKTP.CD"/>
    <s v="100.00"/>
    <x v="0"/>
  </r>
  <r>
    <s v="ISL"/>
    <s v="NY.GDP.MKTP.CD"/>
    <s v="100.00"/>
    <x v="0"/>
  </r>
  <r>
    <s v="GNB"/>
    <s v="NY.GDP.MKTP.CD"/>
    <s v="100.00"/>
    <x v="0"/>
  </r>
  <r>
    <s v="OSS"/>
    <s v="NY.GDP.MKTP.CD"/>
    <s v="100.00"/>
    <x v="0"/>
  </r>
  <r>
    <s v="CMR"/>
    <s v="NY.GDP.MKTP.CD"/>
    <s v="100.00"/>
    <x v="0"/>
  </r>
  <r>
    <s v="CUW"/>
    <s v="NY.GDP.MKTP.CD"/>
    <s v="96.15"/>
    <x v="1"/>
  </r>
  <r>
    <s v="SYC"/>
    <s v="NY.GDP.MKTP.CD"/>
    <s v="100.00"/>
    <x v="0"/>
  </r>
  <r>
    <s v="PYF"/>
    <s v="NY.GDP.MKTP.CD"/>
    <s v="98.36"/>
    <x v="1"/>
  </r>
  <r>
    <s v="NPL"/>
    <s v="NY.GDP.MKTP.CD"/>
    <s v="100.00"/>
    <x v="0"/>
  </r>
  <r>
    <s v="BLZ"/>
    <s v="NY.GDP.MKTP.CD"/>
    <s v="100.00"/>
    <x v="0"/>
  </r>
  <r>
    <s v="AZE"/>
    <s v="NY.GDP.MKTP.CD"/>
    <s v="100.00"/>
    <x v="0"/>
  </r>
  <r>
    <s v="JOR"/>
    <s v="NY.GDP.MKTP.CD"/>
    <s v="100.00"/>
    <x v="0"/>
  </r>
  <r>
    <s v="ERI"/>
    <s v="NY.GDP.MKTP.CD"/>
    <s v="58.82"/>
    <x v="2"/>
  </r>
  <r>
    <s v="MNP"/>
    <s v="NY.GDP.MKTP.CD"/>
    <s v="87.50"/>
    <x v="1"/>
  </r>
  <r>
    <s v="GRD"/>
    <s v="NY.GDP.MKTP.CD"/>
    <s v="100.00"/>
    <x v="0"/>
  </r>
  <r>
    <s v="GNQ"/>
    <s v="NY.GDP.MKTP.CD"/>
    <s v="96.88"/>
    <x v="1"/>
  </r>
  <r>
    <s v="JPN"/>
    <s v="NY.GDP.MKTP.CD"/>
    <s v="100.00"/>
    <x v="0"/>
  </r>
  <r>
    <s v="LUX"/>
    <s v="NY.GDP.MKTP.CD"/>
    <s v="100.00"/>
    <x v="0"/>
  </r>
  <r>
    <s v="TEA"/>
    <s v="NY.GDP.MKTP.CD"/>
    <s v="100.00"/>
    <x v="0"/>
  </r>
  <r>
    <s v="PRT"/>
    <s v="NY.GDP.MKTP.CD"/>
    <s v="100.00"/>
    <x v="0"/>
  </r>
  <r>
    <s v="EST"/>
    <s v="NY.GDP.MKTP.CD"/>
    <s v="100.00"/>
    <x v="0"/>
  </r>
  <r>
    <s v="ESP"/>
    <s v="NY.GDP.MKTP.CD"/>
    <s v="100.00"/>
    <x v="0"/>
  </r>
  <r>
    <s v="TUV"/>
    <s v="NY.GDP.MKTP.CD"/>
    <s v="96.43"/>
    <x v="1"/>
  </r>
  <r>
    <s v="YEM"/>
    <s v="NY.GDP.MKTP.CD"/>
    <s v="80.56"/>
    <x v="1"/>
  </r>
  <r>
    <s v="CYM"/>
    <s v="NY.GDP.MKTP.CD"/>
    <s v="95.00"/>
    <x v="1"/>
  </r>
  <r>
    <s v="PLW"/>
    <s v="NY.GDP.MKTP.CD"/>
    <s v="100.00"/>
    <x v="0"/>
  </r>
  <r>
    <s v="CUB"/>
    <s v="NY.GDP.MKTP.CD"/>
    <s v="91.07"/>
    <x v="1"/>
  </r>
  <r>
    <s v="SEN"/>
    <s v="NY.GDP.MKTP.CD"/>
    <s v="100.00"/>
    <x v="0"/>
  </r>
  <r>
    <s v="VCT"/>
    <s v="NY.GDP.MKTP.CD"/>
    <s v="100.00"/>
    <x v="0"/>
  </r>
  <r>
    <s v="LIC"/>
    <s v="NY.GDP.MKTP.CD"/>
    <s v="100.00"/>
    <x v="0"/>
  </r>
  <r>
    <s v="DEU"/>
    <s v="NY.GDP.MKTP.CD"/>
    <s v="100.00"/>
    <x v="0"/>
  </r>
  <r>
    <s v="KOR"/>
    <s v="NY.GDP.MKTP.CD"/>
    <s v="100.00"/>
    <x v="0"/>
  </r>
  <r>
    <s v="MEX"/>
    <s v="NY.GDP.MKTP.CD"/>
    <s v="100.00"/>
    <x v="0"/>
  </r>
  <r>
    <s v="CHI"/>
    <s v="NY.GDP.MKTP.CD"/>
    <s v="89.29"/>
    <x v="1"/>
  </r>
  <r>
    <s v="EGY"/>
    <s v="NY.GDP.MKTP.CD"/>
    <s v="100.00"/>
    <x v="0"/>
  </r>
  <r>
    <s v="MNA"/>
    <s v="NY.GDP.MKTP.CD"/>
    <s v="100.00"/>
    <x v="0"/>
  </r>
  <r>
    <s v="MIC"/>
    <s v="NY.GDP.MKTP.CD"/>
    <s v="100.00"/>
    <x v="0"/>
  </r>
  <r>
    <s v="LMY"/>
    <s v="NY.GDP.MKTP.CD"/>
    <s v="100.00"/>
    <x v="0"/>
  </r>
  <r>
    <s v="PSS"/>
    <s v="NY.GDP.MKTP.CD"/>
    <s v="100.00"/>
    <x v="0"/>
  </r>
  <r>
    <s v="NRU"/>
    <s v="NY.GDP.MKTP.CD"/>
    <s v="100.00"/>
    <x v="0"/>
  </r>
  <r>
    <s v="AFE"/>
    <s v="NY.GDP.MKTP.CD"/>
    <s v="100.00"/>
    <x v="0"/>
  </r>
  <r>
    <s v="KGZ"/>
    <s v="NY.GDP.MKTP.CD"/>
    <s v="100.00"/>
    <x v="0"/>
  </r>
  <r>
    <s v="TLA"/>
    <s v="NY.GDP.MKTP.CD"/>
    <s v="100.00"/>
    <x v="0"/>
  </r>
  <r>
    <s v="LMC"/>
    <s v="NY.GDP.MKTP.CD"/>
    <s v="100.00"/>
    <x v="0"/>
  </r>
  <r>
    <s v="EAS"/>
    <s v="NY.GDP.MKTP.CD"/>
    <s v="100.00"/>
    <x v="0"/>
  </r>
  <r>
    <s v="IND"/>
    <s v="NY.GDP.MKTP.CD"/>
    <s v="100.00"/>
    <x v="0"/>
  </r>
  <r>
    <s v="SLE"/>
    <s v="NY.GDP.MKTP.CD"/>
    <s v="100.00"/>
    <x v="0"/>
  </r>
  <r>
    <s v="PAN"/>
    <s v="NY.GDP.MKTP.CD"/>
    <s v="100.00"/>
    <x v="0"/>
  </r>
  <r>
    <s v="HUN"/>
    <s v="NY.GDP.MKTP.CD"/>
    <s v="100.00"/>
    <x v="0"/>
  </r>
  <r>
    <s v="MWI"/>
    <s v="NY.GDP.MKTP.CD"/>
    <s v="100.00"/>
    <x v="0"/>
  </r>
  <r>
    <s v="SVK"/>
    <s v="NY.GDP.MKTP.CD"/>
    <s v="100.00"/>
    <x v="0"/>
  </r>
  <r>
    <s v="UGA"/>
    <s v="NY.GDP.MKTP.CD"/>
    <s v="100.00"/>
    <x v="0"/>
  </r>
  <r>
    <s v="ATG"/>
    <s v="NY.GDP.MKTP.CD"/>
    <s v="100.00"/>
    <x v="0"/>
  </r>
  <r>
    <s v="SDN"/>
    <s v="NY.GDP.MKTP.CD"/>
    <s v="100.00"/>
    <x v="0"/>
  </r>
  <r>
    <s v="HTI"/>
    <s v="NY.GDP.MKTP.CD"/>
    <s v="100.00"/>
    <x v="0"/>
  </r>
  <r>
    <s v="SVN"/>
    <s v="NY.GDP.MKTP.CD"/>
    <s v="100.00"/>
    <x v="0"/>
  </r>
  <r>
    <s v="LCA"/>
    <s v="NY.GDP.MKTP.CD"/>
    <s v="100.00"/>
    <x v="0"/>
  </r>
  <r>
    <s v="MDA"/>
    <s v="NY.GDP.MKTP.CD"/>
    <s v="100.00"/>
    <x v="0"/>
  </r>
  <r>
    <s v="AFG"/>
    <s v="NY.GDP.MKTP.CD"/>
    <s v="96.15"/>
    <x v="1"/>
  </r>
  <r>
    <s v="MDV"/>
    <s v="NY.GDP.MKTP.CD"/>
    <s v="100.00"/>
    <x v="0"/>
  </r>
  <r>
    <s v="GBR"/>
    <s v="NY.GDP.MKTP.CD"/>
    <s v="100.00"/>
    <x v="0"/>
  </r>
  <r>
    <s v="TEC"/>
    <s v="NY.GDP.MKTP.CD"/>
    <s v="100.00"/>
    <x v="0"/>
  </r>
  <r>
    <s v="SOM"/>
    <s v="NY.GDP.MKTP.CD"/>
    <s v="100.00"/>
    <x v="0"/>
  </r>
  <r>
    <s v="RUS"/>
    <s v="NY.GDP.MKTP.CD"/>
    <s v="100.00"/>
    <x v="0"/>
  </r>
  <r>
    <s v="CRI"/>
    <s v="NY.GDP.MKTP.CD"/>
    <s v="100.00"/>
    <x v="0"/>
  </r>
  <r>
    <s v="IRL"/>
    <s v="NY.GDP.MKTP.CD"/>
    <s v="100.00"/>
    <x v="0"/>
  </r>
  <r>
    <s v="MNG"/>
    <s v="NY.GDP.MKTP.CD"/>
    <s v="100.00"/>
    <x v="0"/>
  </r>
  <r>
    <s v="TCD"/>
    <s v="NY.GDP.MKTP.CD"/>
    <s v="100.00"/>
    <x v="0"/>
  </r>
  <r>
    <s v="TKM"/>
    <s v="NY.GDP.MKTP.CD"/>
    <s v="100.00"/>
    <x v="0"/>
  </r>
  <r>
    <s v="FRA"/>
    <s v="NY.GDP.MKTP.CD"/>
    <s v="100.00"/>
    <x v="0"/>
  </r>
  <r>
    <s v="GUY"/>
    <s v="NY.GDP.MKTP.CD"/>
    <s v="100.00"/>
    <x v="0"/>
  </r>
  <r>
    <s v="PST"/>
    <s v="NY.GDP.MKTP.CD"/>
    <s v="100.00"/>
    <x v="0"/>
  </r>
  <r>
    <s v="DMA"/>
    <s v="NY.GDP.MKTP.CD"/>
    <s v="100.00"/>
    <x v="0"/>
  </r>
  <r>
    <s v="SMR"/>
    <s v="NY.GDP.MKTP.CD"/>
    <s v="93.10"/>
    <x v="1"/>
  </r>
  <r>
    <s v="SAS"/>
    <s v="NY.GDP.MKTP.CD"/>
    <s v="100.00"/>
    <x v="0"/>
  </r>
  <r>
    <s v="OMN"/>
    <s v="NY.GDP.MKTP.CD"/>
    <s v="100.00"/>
    <x v="0"/>
  </r>
  <r>
    <s v="CZE"/>
    <s v="NY.GDP.MKTP.CD"/>
    <s v="100.00"/>
    <x v="0"/>
  </r>
  <r>
    <s v="BLR"/>
    <s v="NY.GDP.MKTP.CD"/>
    <s v="100.00"/>
    <x v="0"/>
  </r>
  <r>
    <s v="GTM"/>
    <s v="NY.GDP.MKTP.CD"/>
    <s v="100.00"/>
    <x v="0"/>
  </r>
  <r>
    <s v="HND"/>
    <s v="NY.GDP.MKTP.CD"/>
    <s v="100.00"/>
    <x v="0"/>
  </r>
  <r>
    <s v="STP"/>
    <s v="NY.GDP.MKTP.CD"/>
    <s v="100.00"/>
    <x v="0"/>
  </r>
  <r>
    <s v="URY"/>
    <s v="NY.GDP.MKTP.CD"/>
    <s v="100.00"/>
    <x v="0"/>
  </r>
  <r>
    <s v="BMU"/>
    <s v="NY.GDP.MKTP.CD"/>
    <s v="98.48"/>
    <x v="1"/>
  </r>
  <r>
    <s v="AND"/>
    <s v="NY.GDP.MKTP.CD"/>
    <s v="100.00"/>
    <x v="0"/>
  </r>
  <r>
    <s v="TLS"/>
    <s v="NY.GDP.MKTP.CD"/>
    <s v="100.00"/>
    <x v="0"/>
  </r>
  <r>
    <s v="SXM"/>
    <s v="NY.GDP.MKTP.CD"/>
    <s v="100.00"/>
    <x v="0"/>
  </r>
  <r>
    <s v="CYP"/>
    <s v="NY.GDP.MKTP.CD"/>
    <s v="100.00"/>
    <x v="0"/>
  </r>
  <r>
    <s v="KAZ"/>
    <s v="NY.GDP.MKTP.CD"/>
    <s v="100.00"/>
    <x v="0"/>
  </r>
  <r>
    <s v="DOM"/>
    <s v="NY.GDP.MKTP.CD"/>
    <s v="100.00"/>
    <x v="0"/>
  </r>
  <r>
    <s v="TGO"/>
    <s v="NY.GDP.MKTP.CD"/>
    <s v="100.00"/>
    <x v="0"/>
  </r>
  <r>
    <s v="SRB"/>
    <s v="NY.GDP.MKTP.CD"/>
    <s v="100.00"/>
    <x v="0"/>
  </r>
  <r>
    <s v="AUS"/>
    <s v="NY.GDP.MKTP.CD"/>
    <s v="100.00"/>
    <x v="0"/>
  </r>
  <r>
    <s v="MHL"/>
    <s v="NY.GDP.MKTP.CD"/>
    <s v="100.00"/>
    <x v="0"/>
  </r>
  <r>
    <s v="ARM"/>
    <s v="NY.GDP.MKTP.CD"/>
    <s v="100.00"/>
    <x v="0"/>
  </r>
  <r>
    <s v="ECA"/>
    <s v="NY.GDP.MKTP.CD"/>
    <s v="100.00"/>
    <x v="0"/>
  </r>
  <r>
    <s v="HIC"/>
    <s v="NY.GDP.MKTP.CD"/>
    <s v="100.00"/>
    <x v="0"/>
  </r>
  <r>
    <s v="ARG"/>
    <s v="NY.GDP.MKTP.CD"/>
    <s v="100.00"/>
    <x v="0"/>
  </r>
  <r>
    <s v="IRN"/>
    <s v="NY.GDP.MKTP.CD"/>
    <s v="100.00"/>
    <x v="0"/>
  </r>
  <r>
    <s v="LAO"/>
    <s v="NY.GDP.MKTP.CD"/>
    <s v="100.00"/>
    <x v="0"/>
  </r>
  <r>
    <s v="KWT"/>
    <s v="NY.GDP.MKTP.CD"/>
    <s v="100.00"/>
    <x v="0"/>
  </r>
  <r>
    <s v="CSS"/>
    <s v="NY.GDP.MKTP.CD"/>
    <s v="100.00"/>
    <x v="0"/>
  </r>
  <r>
    <s v="NLD"/>
    <s v="NY.GDP.MKTP.CD"/>
    <s v="100.00"/>
    <x v="0"/>
  </r>
  <r>
    <s v="PRI"/>
    <s v="NY.GDP.MKTP.CD"/>
    <s v="100.00"/>
    <x v="0"/>
  </r>
  <r>
    <s v="JAM"/>
    <s v="NY.GDP.MKTP.CD"/>
    <s v="100.00"/>
    <x v="0"/>
  </r>
  <r>
    <s v="LKA"/>
    <s v="NY.GDP.MKTP.CD"/>
    <s v="100.00"/>
    <x v="0"/>
  </r>
  <r>
    <s v="TON"/>
    <s v="NY.GDP.MKTP.CD"/>
    <s v="100.00"/>
    <x v="0"/>
  </r>
  <r>
    <s v="NAM"/>
    <s v="NY.GDP.MKTP.CD"/>
    <s v="100.00"/>
    <x v="0"/>
  </r>
  <r>
    <s v="DNK"/>
    <s v="NY.GDP.MKTP.CD"/>
    <s v="100.00"/>
    <x v="0"/>
  </r>
  <r>
    <s v="PRY"/>
    <s v="NY.GDP.MKTP.CD"/>
    <s v="100.00"/>
    <x v="0"/>
  </r>
  <r>
    <s v="CHE"/>
    <s v="NY.GDP.MKTP.CD"/>
    <s v="100.00"/>
    <x v="0"/>
  </r>
  <r>
    <s v="MAR"/>
    <s v="NY.GDP.MKTP.CD"/>
    <s v="100.00"/>
    <x v="0"/>
  </r>
  <r>
    <s v="NCL"/>
    <s v="NY.GDP.MKTP.CD"/>
    <s v="98.36"/>
    <x v="1"/>
  </r>
  <r>
    <s v="FRO"/>
    <s v="NY.GDP.MKTP.CD"/>
    <s v="98.36"/>
    <x v="1"/>
  </r>
  <r>
    <s v="GHA"/>
    <s v="NY.GDP.MKTP.CD"/>
    <s v="100.00"/>
    <x v="0"/>
  </r>
  <r>
    <s v="VNM"/>
    <s v="NY.GDP.MKTP.CD"/>
    <s v="100.00"/>
    <x v="0"/>
  </r>
  <r>
    <s v="ROU"/>
    <s v="NY.GDP.MKTP.CD"/>
    <s v="100.00"/>
    <x v="0"/>
  </r>
  <r>
    <s v="BEL"/>
    <s v="NY.GDP.MKTP.CD"/>
    <s v="100.00"/>
    <x v="0"/>
  </r>
  <r>
    <s v="ETH"/>
    <s v="NY.GDP.MKTP.CD"/>
    <s v="100.00"/>
    <x v="0"/>
  </r>
  <r>
    <s v="NAC"/>
    <s v="NY.GDP.MKTP.CD"/>
    <s v="100.00"/>
    <x v="0"/>
  </r>
  <r>
    <s v="NOR"/>
    <s v="NY.GDP.MKTP.CD"/>
    <s v="100.00"/>
    <x v="0"/>
  </r>
  <r>
    <s v="NZL"/>
    <s v="NY.GDP.MKTP.CD"/>
    <s v="100.00"/>
    <x v="0"/>
  </r>
  <r>
    <s v="UZB"/>
    <s v="NY.GDP.MKTP.CD"/>
    <s v="100.00"/>
    <x v="0"/>
  </r>
  <r>
    <s v="MRT"/>
    <s v="NY.GDP.MKTP.CD"/>
    <s v="100.00"/>
    <x v="0"/>
  </r>
  <r>
    <s v="MMR"/>
    <s v="NY.GDP.MKTP.CD"/>
    <s v="100.00"/>
    <x v="0"/>
  </r>
  <r>
    <s v="LDC"/>
    <s v="NY.GDP.MKTP.CD"/>
    <s v="100.00"/>
    <x v="0"/>
  </r>
  <r>
    <s v="TUN"/>
    <s v="NY.GDP.MKTP.CD"/>
    <s v="100.00"/>
    <x v="0"/>
  </r>
  <r>
    <s v="SUR"/>
    <s v="NY.GDP.MKTP.CD"/>
    <s v="100.00"/>
    <x v="0"/>
  </r>
  <r>
    <s v="MAC"/>
    <s v="NY.GDP.MKTP.CD"/>
    <s v="100.00"/>
    <x v="0"/>
  </r>
  <r>
    <s v="ECS"/>
    <s v="NY.GDP.MKTP.CD"/>
    <s v="100.00"/>
    <x v="0"/>
  </r>
  <r>
    <s v="SGP"/>
    <s v="NY.GDP.MKTP.CD"/>
    <s v="100.00"/>
    <x v="0"/>
  </r>
  <r>
    <s v="VIR"/>
    <s v="NY.GDP.MKTP.CD"/>
    <s v="87.50"/>
    <x v="1"/>
  </r>
  <r>
    <s v="AFW"/>
    <s v="NY.GDP.MKTP.CD"/>
    <s v="100.00"/>
    <x v="0"/>
  </r>
  <r>
    <s v="BHR"/>
    <s v="NY.GDP.MKTP.CD"/>
    <s v="100.00"/>
    <x v="0"/>
  </r>
  <r>
    <s v="CAN"/>
    <s v="NY.GDP.MKTP.CD"/>
    <s v="100.00"/>
    <x v="0"/>
  </r>
  <r>
    <s v="FSM"/>
    <s v="NY.GDP.MKTP.CD"/>
    <s v="100.00"/>
    <x v="0"/>
  </r>
  <r>
    <s v="MLI"/>
    <s v="NY.GDP.MKTP.CD"/>
    <s v="100.00"/>
    <x v="0"/>
  </r>
  <r>
    <s v="IDX"/>
    <s v="NY.GDP.MKTP.CD"/>
    <s v="100.00"/>
    <x v="0"/>
  </r>
  <r>
    <s v="OED"/>
    <s v="NY.GDP.MKTP.CD"/>
    <s v="100.00"/>
    <x v="0"/>
  </r>
  <r>
    <s v="AUT"/>
    <s v="NY.GDP.MKTP.CD"/>
    <s v="100.00"/>
    <x v="0"/>
  </r>
  <r>
    <s v="BRN"/>
    <s v="NY.GDP.MKTP.CD"/>
    <s v="100.00"/>
    <x v="0"/>
  </r>
  <r>
    <s v="ZWE"/>
    <s v="NY.GDP.MKTP.CD"/>
    <s v="100.00"/>
    <x v="0"/>
  </r>
  <r>
    <s v="ZAF"/>
    <s v="NY.GDP.MKTP.CD"/>
    <s v="100.00"/>
    <x v="0"/>
  </r>
  <r>
    <s v="USA"/>
    <s v="NY.GDP.MKTP.CD"/>
    <s v="100.00"/>
    <x v="0"/>
  </r>
  <r>
    <s v="BIH"/>
    <s v="NY.GDP.MKTP.CD"/>
    <s v="100.00"/>
    <x v="0"/>
  </r>
  <r>
    <s v="MEA"/>
    <s v="NY.GDP.MKTP.CD"/>
    <s v="100.00"/>
    <x v="0"/>
  </r>
  <r>
    <s v="MDG"/>
    <s v="NY.GDP.MKTP.CD"/>
    <s v="100.00"/>
    <x v="0"/>
  </r>
  <r>
    <s v="VUT"/>
    <s v="NY.GDP.MKTP.CD"/>
    <s v="100.00"/>
    <x v="0"/>
  </r>
  <r>
    <s v="CHN"/>
    <s v="NY.GDP.MKTP.CD"/>
    <s v="100.00"/>
    <x v="0"/>
  </r>
  <r>
    <s v="ITA"/>
    <s v="NY.GDP.MKTP.CD"/>
    <s v="100.00"/>
    <x v="0"/>
  </r>
  <r>
    <s v="BRB"/>
    <s v="NY.GDP.MKTP.CD"/>
    <s v="100.00"/>
    <x v="0"/>
  </r>
  <r>
    <s v="SST"/>
    <s v="NY.GDP.MKTP.CD"/>
    <s v="100.00"/>
    <x v="0"/>
  </r>
  <r>
    <s v="ALB"/>
    <s v="NY.GDP.MKTP.CD"/>
    <s v="100.00"/>
    <x v="0"/>
  </r>
  <r>
    <s v="BFA"/>
    <s v="NY.GDP.MKTP.CD"/>
    <s v="100.00"/>
    <x v="0"/>
  </r>
  <r>
    <s v="LAC"/>
    <s v="NY.GDP.MKTP.CD"/>
    <s v="100.00"/>
    <x v="0"/>
  </r>
  <r>
    <s v="MCO"/>
    <s v="NY.GDP.MKTP.CD"/>
    <s v="98.21"/>
    <x v="1"/>
  </r>
  <r>
    <s v="ZMB"/>
    <s v="NY.GDP.MKTP.CD"/>
    <s v="100.00"/>
    <x v="0"/>
  </r>
  <r>
    <s v="BDI"/>
    <s v="NY.GDP.MKTP.CD"/>
    <s v="100.00"/>
    <x v="0"/>
  </r>
  <r>
    <s v="LIE"/>
    <s v="NY.GDP.MKTP.CD"/>
    <s v="98.21"/>
    <x v="1"/>
  </r>
  <r>
    <s v="NER"/>
    <s v="NY.GDP.MKTP.CD"/>
    <s v="100.00"/>
    <x v="0"/>
  </r>
  <r>
    <s v="DJI"/>
    <s v="NY.GDP.MKTP.CD"/>
    <s v="97.56"/>
    <x v="1"/>
  </r>
  <r>
    <s v="ABW"/>
    <s v="NY.GDP.MKTP.CD"/>
    <s v="97.50"/>
    <x v="1"/>
  </r>
  <r>
    <s v="RWA"/>
    <s v="NY.GDP.MKTP.CD"/>
    <s v="100.00"/>
    <x v="0"/>
  </r>
  <r>
    <s v="MLT"/>
    <s v="NY.GDP.MKTP.CD"/>
    <s v="100.00"/>
    <x v="0"/>
  </r>
  <r>
    <s v="BEN"/>
    <s v="NY.GDP.MKTP.CD"/>
    <s v="100.00"/>
    <x v="0"/>
  </r>
  <r>
    <s v="NIC"/>
    <s v="NY.GDP.MKTP.CD"/>
    <s v="100.00"/>
    <x v="0"/>
  </r>
  <r>
    <s v="IRQ"/>
    <s v="NY.GDP.MKTP.CD"/>
    <s v="100.00"/>
    <x v="0"/>
  </r>
  <r>
    <s v="WLD"/>
    <s v="NY.GDP.MKTP.CD"/>
    <s v="100.00"/>
    <x v="0"/>
  </r>
  <r>
    <s v="ARB"/>
    <s v="NY.GDP.MKTP.CD"/>
    <s v="100.00"/>
    <x v="0"/>
  </r>
  <r>
    <s v="IDA"/>
    <s v="NY.GDP.MKTP.CD"/>
    <s v="100.00"/>
    <x v="0"/>
  </r>
  <r>
    <s v="KNA"/>
    <s v="NY.GDP.MKTP.CD"/>
    <s v="100.00"/>
    <x v="0"/>
  </r>
  <r>
    <s v="ECU"/>
    <s v="NY.GDP.MKTP.CD"/>
    <s v="100.00"/>
    <x v="0"/>
  </r>
  <r>
    <s v="POL"/>
    <s v="NY.GDP.MKTP.CD"/>
    <s v="100.00"/>
    <x v="0"/>
  </r>
  <r>
    <s v="EAR"/>
    <s v="NY.GDP.MKTP.CD"/>
    <s v="100.00"/>
    <x v="0"/>
  </r>
  <r>
    <s v="HPC"/>
    <s v="NY.GDP.MKTP.CD"/>
    <s v="100.00"/>
    <x v="0"/>
  </r>
  <r>
    <s v="GMB"/>
    <s v="NY.GDP.MKTP.CD"/>
    <s v="100.00"/>
    <x v="0"/>
  </r>
  <r>
    <s v="TCA"/>
    <s v="NY.GDP.MKTP.CD"/>
    <s v="96.00"/>
    <x v="1"/>
  </r>
  <r>
    <s v="SAU"/>
    <s v="NY.GDP.MKTP.CD"/>
    <s v="100.00"/>
    <x v="0"/>
  </r>
  <r>
    <s v="KIR"/>
    <s v="NY.GDP.MKTP.CD"/>
    <s v="100.00"/>
    <x v="0"/>
  </r>
  <r>
    <s v="MKD"/>
    <s v="NY.GDP.MKTP.CD"/>
    <s v="100.00"/>
    <x v="0"/>
  </r>
  <r>
    <s v="MYS"/>
    <s v="NY.GDP.MKTP.CD"/>
    <s v="100.00"/>
    <x v="0"/>
  </r>
  <r>
    <s v="SSD"/>
    <s v="NY.GDP.MKTP.CD"/>
    <s v="44.44"/>
    <x v="3"/>
  </r>
  <r>
    <s v="QAT"/>
    <s v="NY.GDP.MKTP.CD"/>
    <s v="100.00"/>
    <x v="0"/>
  </r>
  <r>
    <s v="CHL"/>
    <s v="NY.GDP.MKTP.CD"/>
    <s v="100.00"/>
    <x v="0"/>
  </r>
  <r>
    <s v="COG"/>
    <s v="NY.GDP.MKTP.CD"/>
    <s v="100.00"/>
    <x v="0"/>
  </r>
  <r>
    <s v="PAK"/>
    <s v="NY.GDP.MKTP.CD"/>
    <s v="100.00"/>
    <x v="0"/>
  </r>
  <r>
    <s v="FJI"/>
    <s v="NY.GDP.MKTP.CD"/>
    <s v="100.00"/>
    <x v="0"/>
  </r>
  <r>
    <s v="TSA"/>
    <s v="NY.GDP.MKTP.CD"/>
    <s v="100.00"/>
    <x v="0"/>
  </r>
  <r>
    <s v="HRV"/>
    <s v="NY.GDP.MKTP.CD"/>
    <s v="100.00"/>
    <x v="0"/>
  </r>
  <r>
    <s v="BHS"/>
    <s v="NY.GDP.MKTP.CD"/>
    <s v="98.48"/>
    <x v="1"/>
  </r>
  <r>
    <s v="IDN"/>
    <s v="NY.GDP.MKTP.CD"/>
    <s v="100.00"/>
    <x v="0"/>
  </r>
  <r>
    <s v="PNG"/>
    <s v="NY.GDP.MKTP.CD"/>
    <s v="100.00"/>
    <x v="0"/>
  </r>
  <r>
    <s v="GEO"/>
    <s v="NY.GDP.MKTP.CD"/>
    <s v="100.00"/>
    <x v="0"/>
  </r>
  <r>
    <s v="GIN"/>
    <s v="NY.GDP.MKTP.CD"/>
    <s v="100.00"/>
    <x v="0"/>
  </r>
  <r>
    <s v="MOZ"/>
    <s v="NY.GDP.MKTP.CD"/>
    <s v="100.00"/>
    <x v="0"/>
  </r>
  <r>
    <s v="SWE"/>
    <s v="NY.GDP.MKTP.CD"/>
    <s v="100.00"/>
    <x v="0"/>
  </r>
  <r>
    <s v="LVA"/>
    <s v="NY.GDP.MKTP.CD"/>
    <s v="100.00"/>
    <x v="0"/>
  </r>
  <r>
    <s v="LTU"/>
    <s v="NY.GDP.MKTP.CD"/>
    <s v="100.00"/>
    <x v="0"/>
  </r>
  <r>
    <s v="PER"/>
    <s v="NY.GDP.MKTP.CD"/>
    <s v="100.00"/>
    <x v="0"/>
  </r>
  <r>
    <s v="BGD"/>
    <s v="NY.GDP.MKTP.CD"/>
    <s v="100.00"/>
    <x v="0"/>
  </r>
  <r>
    <s v="FIN"/>
    <s v="NY.GDP.MKTP.CD"/>
    <s v="100.00"/>
    <x v="0"/>
  </r>
  <r>
    <s v="MAF"/>
    <s v="NY.GDP.MKTP.CD"/>
    <s v="26.67"/>
    <x v="4"/>
  </r>
  <r>
    <s v="TZA"/>
    <s v="NY.GDP.MKTP.CD"/>
    <s v="100.00"/>
    <x v="0"/>
  </r>
  <r>
    <s v="LBN"/>
    <s v="NY.GDP.MKTP.CD"/>
    <s v="97.37"/>
    <x v="1"/>
  </r>
  <r>
    <s v="GRC"/>
    <s v="NY.GDP.MKTP.CD"/>
    <s v="100.00"/>
    <x v="0"/>
  </r>
  <r>
    <s v="PSE"/>
    <s v="NY.GDP.MKTP.CD"/>
    <s v="100.00"/>
    <x v="0"/>
  </r>
  <r>
    <s v="COD"/>
    <s v="NY.GDP.MKTP.CD"/>
    <s v="100.00"/>
    <x v="0"/>
  </r>
  <r>
    <s v="COL"/>
    <s v="NY.GDP.MKTP.CD"/>
    <s v="100.00"/>
    <x v="0"/>
  </r>
  <r>
    <s v="BOL"/>
    <s v="NY.GDP.MKTP.CD"/>
    <s v="100.00"/>
    <x v="0"/>
  </r>
  <r>
    <s v="PHL"/>
    <s v="NY.GDP.MKTP.CD"/>
    <s v="100.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"/>
  </r>
  <r>
    <x v="1"/>
    <n v="44"/>
  </r>
  <r>
    <x v="2"/>
    <n v="50"/>
  </r>
  <r>
    <x v="3"/>
    <n v="1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A02FF-B79C-4A66-BCEA-1A31A215B187}" name="TablaDinámica2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Coverage Category">
  <location ref="F9:G15" firstHeaderRow="1" firstDataRow="1" firstDataCol="1"/>
  <pivotFields count="4">
    <pivotField showAll="0"/>
    <pivotField showAll="0"/>
    <pivotField showAll="0"/>
    <pivotField axis="axisRow" dataField="1" showAll="0">
      <items count="6">
        <item n="Full coverage" x="0"/>
        <item n="High coverage" x="1"/>
        <item n="Low coverage" x="3"/>
        <item n="Medium coverage" x="2"/>
        <item n="Poor coverage"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ercentage" fld="3" subtotal="count" showDataAs="percentOfTotal" baseField="3" baseItem="0" numFmtId="10"/>
  </dataFields>
  <formats count="20">
    <format dxfId="27">
      <pivotArea field="3" type="button" dataOnly="0" labelOnly="1" outline="0" axis="axisRow" fieldPosition="0"/>
    </format>
    <format dxfId="26">
      <pivotArea dataOnly="0" labelOnly="1" outline="0" axis="axisValues" fieldPosition="0"/>
    </format>
    <format dxfId="25">
      <pivotArea field="3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3" type="button" dataOnly="0" labelOnly="1" outline="0" axis="axisRow" fieldPosition="0"/>
    </format>
    <format dxfId="22">
      <pivotArea dataOnly="0" labelOnly="1" outline="0" axis="axisValues" fieldPosition="0"/>
    </format>
    <format dxfId="21">
      <pivotArea field="3" type="button" dataOnly="0" labelOnly="1" outline="0" axis="axisRow" fieldPosition="0"/>
    </format>
    <format dxfId="20">
      <pivotArea dataOnly="0" labelOnly="1" outline="0" axis="axisValues" fieldPosition="0"/>
    </format>
    <format dxfId="19">
      <pivotArea field="3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grandRow="1" axis="axisRow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6316B-4C37-47B2-8F8C-25A850D9F93C}" name="TablaDinámica6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8" rowHeaderCaption="Historical depth">
  <location ref="F18:G23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ercentage" fld="1" showDataAs="percentOfTotal" baseField="0" baseItem="0" numFmtId="10"/>
  </dataFields>
  <formats count="17">
    <format dxfId="44">
      <pivotArea field="0" type="button" dataOnly="0" labelOnly="1" outline="0" axis="axisRow" fieldPosition="0"/>
    </format>
    <format dxfId="43">
      <pivotArea dataOnly="0" labelOnly="1" outline="0" axis="axisValues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grandRow="1" outline="0" collapsedLevelsAreSubtotals="1" fieldPosition="0"/>
    </format>
    <format dxfId="39">
      <pivotArea dataOnly="0" labelOnly="1" grandRow="1" outline="0" fieldPosition="0"/>
    </format>
    <format dxfId="38">
      <pivotArea field="0" type="button" dataOnly="0" labelOnly="1" outline="0" axis="axisRow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field="0" type="button" dataOnly="0" labelOnly="1" outline="0" axis="axisRow" fieldPosition="0"/>
    </format>
    <format dxfId="29">
      <pivotArea dataOnly="0" labelOnly="1" outline="0" axis="axisValues" fieldPosition="0"/>
    </format>
    <format dxfId="28">
      <pivotArea dataOnly="0" labelOnly="1" fieldPosition="0">
        <references count="1">
          <reference field="0" count="0"/>
        </references>
      </pivotArea>
    </format>
  </formats>
  <chartFormats count="5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7A2468-A0CB-4869-8BAB-DF3712502412}" name="growth_table" displayName="growth_table" ref="E25:H89" totalsRowShown="0" headerRowDxfId="7">
  <autoFilter ref="E25:H89" xr:uid="{657A2468-A0CB-4869-8BAB-DF3712502412}"/>
  <tableColumns count="4">
    <tableColumn id="1" xr3:uid="{CF5F6121-DD64-4278-AEAA-6E6ADC6A1294}" name="Year" dataDxfId="6"/>
    <tableColumn id="2" xr3:uid="{F9E472CB-5DAD-4A86-B31D-478A4DDD2384}" name="GDP Value" dataDxfId="5"/>
    <tableColumn id="3" xr3:uid="{6C54BD7F-267F-4394-8E70-07582D02B322}" name="GDP Growth (%)" dataDxfId="4"/>
    <tableColumn id="4" xr3:uid="{00A5F418-6E0A-4F43-90BE-C2D94AF2FF40}" name="CAGR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951F2C-3662-4F67-9558-EAF15E39EAEA}" name="Tabla5" displayName="Tabla5" ref="E15:H21" totalsRowShown="0" headerRowDxfId="49">
  <autoFilter ref="E15:H21" xr:uid="{74951F2C-3662-4F67-9558-EAF15E39EAEA}"/>
  <tableColumns count="4">
    <tableColumn id="1" xr3:uid="{BB7BB93E-C4C5-4936-A75C-DA5E31622617}" name="Period" dataDxfId="48"/>
    <tableColumn id="2" xr3:uid="{1A6F4643-96C9-4B3B-A557-10D5DE87AA51}" name="Initial Value" dataDxfId="47"/>
    <tableColumn id="3" xr3:uid="{65F5FF13-D97A-42F0-9655-79CB4674407C}" name="Final Value" dataDxfId="46"/>
    <tableColumn id="4" xr3:uid="{096930A0-D167-4524-B669-A5BF14979C29}" name="CAGR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96DCB3-10A1-496A-8BD6-326EAD045F40}" name="Tabla7" displayName="Tabla7" ref="A1:F57" totalsRowShown="0">
  <autoFilter ref="A1:F57" xr:uid="{E196DCB3-10A1-496A-8BD6-326EAD045F40}"/>
  <tableColumns count="6">
    <tableColumn id="1" xr3:uid="{36ED0915-29A5-48A7-9C74-A4C106747255}" name="iso_code"/>
    <tableColumn id="2" xr3:uid="{99DD482D-F15F-4F98-80F4-B997B0C0D0AC}" name="indicator"/>
    <tableColumn id="3" xr3:uid="{283FC5C5-D048-4039-92B2-001274402729}" name="period"/>
    <tableColumn id="4" xr3:uid="{7FD83ED3-880D-43EF-8C83-85DE0E98B04A}" name="initial_value" dataDxfId="2"/>
    <tableColumn id="5" xr3:uid="{07DB420B-474B-4018-A6B2-992BC45E0719}" name="final_value" dataDxfId="1"/>
    <tableColumn id="6" xr3:uid="{0B11241A-4A59-4805-B499-2360785DAD59}" name="rolling_10y_cag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BD02-DDF6-45A7-B52E-BAC59FE23033}">
  <dimension ref="B1:L24"/>
  <sheetViews>
    <sheetView showGridLines="0" zoomScale="90" zoomScaleNormal="90" workbookViewId="0">
      <selection activeCell="O5" sqref="O5"/>
    </sheetView>
  </sheetViews>
  <sheetFormatPr baseColWidth="10" defaultRowHeight="15" x14ac:dyDescent="0.25"/>
  <cols>
    <col min="1" max="1" width="13.7109375" customWidth="1"/>
    <col min="2" max="5" width="20.7109375" customWidth="1"/>
    <col min="6" max="7" width="3.28515625" customWidth="1"/>
    <col min="8" max="9" width="20.7109375" customWidth="1"/>
    <col min="10" max="10" width="5.7109375" customWidth="1"/>
    <col min="11" max="17" width="20.7109375" customWidth="1"/>
  </cols>
  <sheetData>
    <row r="1" spans="2:12" ht="30" customHeight="1" x14ac:dyDescent="0.25"/>
    <row r="2" spans="2:12" ht="30" customHeight="1" thickBot="1" x14ac:dyDescent="0.3"/>
    <row r="3" spans="2:12" ht="15" customHeight="1" x14ac:dyDescent="0.25">
      <c r="B3" s="47" t="s">
        <v>10</v>
      </c>
      <c r="C3" s="47"/>
      <c r="D3" s="47"/>
      <c r="E3" s="47"/>
      <c r="F3" s="5"/>
      <c r="H3" s="7"/>
      <c r="I3" s="6"/>
      <c r="K3" s="46" t="s">
        <v>114</v>
      </c>
      <c r="L3" s="46"/>
    </row>
    <row r="4" spans="2:12" ht="15.75" customHeight="1" x14ac:dyDescent="0.25">
      <c r="B4" s="47"/>
      <c r="C4" s="47"/>
      <c r="D4" s="47"/>
      <c r="E4" s="47"/>
      <c r="F4" s="5"/>
      <c r="H4" s="42" t="s">
        <v>9</v>
      </c>
      <c r="I4" s="43"/>
      <c r="K4" s="46"/>
      <c r="L4" s="46"/>
    </row>
    <row r="5" spans="2:12" ht="15" customHeight="1" x14ac:dyDescent="0.25">
      <c r="B5" s="47"/>
      <c r="C5" s="47"/>
      <c r="D5" s="47"/>
      <c r="E5" s="47"/>
      <c r="F5" s="5"/>
      <c r="H5" s="42"/>
      <c r="I5" s="43"/>
      <c r="K5" s="46"/>
      <c r="L5" s="46"/>
    </row>
    <row r="6" spans="2:12" ht="15" customHeight="1" x14ac:dyDescent="0.25">
      <c r="B6" s="47"/>
      <c r="C6" s="47"/>
      <c r="D6" s="47"/>
      <c r="E6" s="47"/>
      <c r="F6" s="5"/>
      <c r="H6" s="42"/>
      <c r="I6" s="43"/>
      <c r="K6" s="46"/>
      <c r="L6" s="46"/>
    </row>
    <row r="7" spans="2:12" ht="15" customHeight="1" x14ac:dyDescent="0.25">
      <c r="B7" s="47"/>
      <c r="C7" s="47"/>
      <c r="D7" s="47"/>
      <c r="E7" s="47"/>
      <c r="F7" s="5"/>
      <c r="H7" s="42" t="s">
        <v>8</v>
      </c>
      <c r="I7" s="43"/>
      <c r="K7" s="46"/>
      <c r="L7" s="46"/>
    </row>
    <row r="8" spans="2:12" ht="15" customHeight="1" x14ac:dyDescent="0.25">
      <c r="B8" s="47"/>
      <c r="C8" s="47"/>
      <c r="D8" s="47"/>
      <c r="E8" s="47"/>
      <c r="F8" s="5"/>
      <c r="H8" s="42"/>
      <c r="I8" s="43"/>
      <c r="K8" s="46"/>
      <c r="L8" s="46"/>
    </row>
    <row r="9" spans="2:12" ht="15" customHeight="1" x14ac:dyDescent="0.25">
      <c r="B9" s="47"/>
      <c r="C9" s="47"/>
      <c r="D9" s="47"/>
      <c r="E9" s="47"/>
      <c r="F9" s="5"/>
      <c r="H9" s="42"/>
      <c r="I9" s="43"/>
      <c r="K9" s="46"/>
      <c r="L9" s="46"/>
    </row>
    <row r="10" spans="2:12" ht="15" customHeight="1" x14ac:dyDescent="0.25">
      <c r="B10" s="5"/>
      <c r="C10" s="5"/>
      <c r="D10" s="5"/>
      <c r="E10" s="5"/>
      <c r="F10" s="5"/>
      <c r="H10" s="42" t="s">
        <v>7</v>
      </c>
      <c r="I10" s="43"/>
      <c r="K10" s="46"/>
      <c r="L10" s="46"/>
    </row>
    <row r="11" spans="2:12" ht="15" customHeight="1" x14ac:dyDescent="0.25">
      <c r="B11" s="5"/>
      <c r="C11" s="48" t="s">
        <v>115</v>
      </c>
      <c r="D11" s="48"/>
      <c r="E11" s="48"/>
      <c r="F11" s="5"/>
      <c r="H11" s="42"/>
      <c r="I11" s="43"/>
      <c r="K11" s="46"/>
      <c r="L11" s="46"/>
    </row>
    <row r="12" spans="2:12" ht="15" customHeight="1" x14ac:dyDescent="0.25">
      <c r="C12" s="48"/>
      <c r="D12" s="48"/>
      <c r="E12" s="48"/>
      <c r="H12" s="42"/>
      <c r="I12" s="43"/>
      <c r="K12" s="46"/>
      <c r="L12" s="46"/>
    </row>
    <row r="13" spans="2:12" ht="15" customHeight="1" x14ac:dyDescent="0.25">
      <c r="C13" s="48"/>
      <c r="D13" s="48"/>
      <c r="E13" s="48"/>
      <c r="H13" s="42" t="s">
        <v>6</v>
      </c>
      <c r="I13" s="43"/>
      <c r="K13" s="46"/>
      <c r="L13" s="46"/>
    </row>
    <row r="14" spans="2:12" ht="15" customHeight="1" x14ac:dyDescent="0.25">
      <c r="C14" s="48"/>
      <c r="D14" s="48"/>
      <c r="E14" s="48"/>
      <c r="F14" s="4"/>
      <c r="H14" s="42"/>
      <c r="I14" s="43"/>
      <c r="K14" s="46"/>
      <c r="L14" s="46"/>
    </row>
    <row r="15" spans="2:12" ht="15" customHeight="1" thickBot="1" x14ac:dyDescent="0.3">
      <c r="C15" s="48"/>
      <c r="D15" s="48"/>
      <c r="E15" s="48"/>
      <c r="F15" s="4"/>
      <c r="H15" s="44"/>
      <c r="I15" s="45"/>
      <c r="K15" s="46"/>
      <c r="L15" s="46"/>
    </row>
    <row r="16" spans="2:12" ht="15" customHeight="1" x14ac:dyDescent="0.25">
      <c r="C16" s="4"/>
      <c r="D16" s="4"/>
      <c r="E16" s="4"/>
      <c r="F16" s="4"/>
      <c r="K16" s="46"/>
      <c r="L16" s="46"/>
    </row>
    <row r="17" spans="2:12" ht="15.75" customHeight="1" x14ac:dyDescent="0.25">
      <c r="B17" s="49" t="s">
        <v>5</v>
      </c>
      <c r="C17" s="49"/>
      <c r="D17" s="49"/>
      <c r="E17" s="49"/>
      <c r="F17" s="4"/>
      <c r="K17" s="46"/>
      <c r="L17" s="46"/>
    </row>
    <row r="18" spans="2:12" ht="15" customHeight="1" x14ac:dyDescent="0.25">
      <c r="B18" s="49"/>
      <c r="C18" s="49"/>
      <c r="D18" s="49"/>
      <c r="E18" s="49"/>
      <c r="F18" s="4"/>
      <c r="K18" s="46"/>
      <c r="L18" s="46"/>
    </row>
    <row r="19" spans="2:12" ht="15" customHeight="1" x14ac:dyDescent="0.25">
      <c r="B19" s="49"/>
      <c r="C19" s="49"/>
      <c r="D19" s="49"/>
      <c r="E19" s="49"/>
      <c r="F19" s="4"/>
      <c r="K19" s="46"/>
      <c r="L19" s="46"/>
    </row>
    <row r="20" spans="2:12" x14ac:dyDescent="0.25">
      <c r="B20" s="49"/>
      <c r="C20" s="49"/>
      <c r="D20" s="49"/>
      <c r="E20" s="49"/>
      <c r="I20" s="3" t="s">
        <v>4</v>
      </c>
      <c r="K20" s="46"/>
      <c r="L20" s="46"/>
    </row>
    <row r="21" spans="2:12" x14ac:dyDescent="0.25">
      <c r="C21" s="50" t="s">
        <v>3</v>
      </c>
      <c r="D21" s="50"/>
      <c r="E21" s="50"/>
      <c r="F21" s="2"/>
      <c r="G21" s="1"/>
      <c r="H21" s="1"/>
    </row>
    <row r="22" spans="2:12" x14ac:dyDescent="0.25">
      <c r="F22" s="1"/>
      <c r="G22" s="1"/>
      <c r="H22" s="1"/>
    </row>
    <row r="23" spans="2:12" x14ac:dyDescent="0.25">
      <c r="H23" s="40"/>
      <c r="I23" s="41"/>
    </row>
    <row r="24" spans="2:12" x14ac:dyDescent="0.25">
      <c r="H24" s="41"/>
      <c r="I24" s="41"/>
    </row>
  </sheetData>
  <mergeCells count="10">
    <mergeCell ref="K3:L20"/>
    <mergeCell ref="B3:E9"/>
    <mergeCell ref="C11:E15"/>
    <mergeCell ref="B17:E20"/>
    <mergeCell ref="C21:E21"/>
    <mergeCell ref="H23:I24"/>
    <mergeCell ref="H4:I6"/>
    <mergeCell ref="H7:I9"/>
    <mergeCell ref="H10:I12"/>
    <mergeCell ref="H13:I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0522-F77E-4657-9AB4-1B8EDC322D04}">
  <dimension ref="B3:J23"/>
  <sheetViews>
    <sheetView showGridLines="0" zoomScale="74" zoomScaleNormal="92" workbookViewId="0">
      <selection activeCell="E2" sqref="E2"/>
    </sheetView>
  </sheetViews>
  <sheetFormatPr baseColWidth="10" defaultRowHeight="15" x14ac:dyDescent="0.25"/>
  <cols>
    <col min="1" max="1" width="20.7109375" customWidth="1"/>
    <col min="2" max="2" width="0.42578125" hidden="1" customWidth="1"/>
    <col min="3" max="4" width="20.7109375" customWidth="1"/>
    <col min="5" max="5" width="8.7109375" customWidth="1"/>
    <col min="6" max="7" width="20.7109375" customWidth="1"/>
    <col min="8" max="8" width="8.7109375" customWidth="1"/>
    <col min="9" max="10" width="20.7109375" customWidth="1"/>
  </cols>
  <sheetData>
    <row r="3" spans="2:10" ht="15" customHeight="1" x14ac:dyDescent="0.25">
      <c r="B3" s="25"/>
      <c r="C3" s="25"/>
      <c r="D3" s="25"/>
      <c r="E3" s="25"/>
      <c r="F3" s="25"/>
    </row>
    <row r="4" spans="2:10" ht="15" customHeight="1" x14ac:dyDescent="0.25">
      <c r="F4" s="25"/>
    </row>
    <row r="5" spans="2:10" ht="15" customHeight="1" thickBot="1" x14ac:dyDescent="0.3">
      <c r="B5" s="22"/>
      <c r="F5" s="37" t="s">
        <v>30</v>
      </c>
      <c r="G5" s="37"/>
    </row>
    <row r="6" spans="2:10" ht="15" customHeight="1" x14ac:dyDescent="0.25">
      <c r="B6" s="22"/>
      <c r="C6" s="24" t="s">
        <v>29</v>
      </c>
      <c r="D6" s="23" t="s">
        <v>1</v>
      </c>
      <c r="E6" s="19"/>
      <c r="F6" s="37"/>
      <c r="G6" s="37"/>
    </row>
    <row r="7" spans="2:10" ht="15" customHeight="1" x14ac:dyDescent="0.25">
      <c r="B7" s="22"/>
      <c r="C7" s="21" t="s">
        <v>28</v>
      </c>
      <c r="D7" s="20">
        <v>261</v>
      </c>
      <c r="E7" s="19"/>
      <c r="F7" s="37"/>
      <c r="G7" s="37"/>
    </row>
    <row r="8" spans="2:10" ht="15" customHeight="1" thickBot="1" x14ac:dyDescent="0.3">
      <c r="B8" s="19"/>
      <c r="C8" s="21" t="s">
        <v>27</v>
      </c>
      <c r="D8" s="20" t="s">
        <v>26</v>
      </c>
      <c r="E8" s="19"/>
    </row>
    <row r="9" spans="2:10" ht="15" customHeight="1" thickBot="1" x14ac:dyDescent="0.3">
      <c r="C9" s="18" t="s">
        <v>25</v>
      </c>
      <c r="D9" s="17" t="s">
        <v>24</v>
      </c>
      <c r="F9" s="16" t="s">
        <v>23</v>
      </c>
      <c r="G9" s="15" t="s">
        <v>16</v>
      </c>
    </row>
    <row r="10" spans="2:10" x14ac:dyDescent="0.25">
      <c r="F10" s="11" t="s">
        <v>22</v>
      </c>
      <c r="G10" s="10">
        <v>0.87739463601532564</v>
      </c>
    </row>
    <row r="11" spans="2:10" x14ac:dyDescent="0.25">
      <c r="F11" s="11" t="s">
        <v>21</v>
      </c>
      <c r="G11" s="10">
        <v>0.1111111111111111</v>
      </c>
    </row>
    <row r="12" spans="2:10" x14ac:dyDescent="0.25">
      <c r="F12" s="11" t="s">
        <v>20</v>
      </c>
      <c r="G12" s="10">
        <v>3.8314176245210726E-3</v>
      </c>
    </row>
    <row r="13" spans="2:10" x14ac:dyDescent="0.25">
      <c r="F13" s="11" t="s">
        <v>19</v>
      </c>
      <c r="G13" s="10">
        <v>3.8314176245210726E-3</v>
      </c>
    </row>
    <row r="14" spans="2:10" x14ac:dyDescent="0.25">
      <c r="F14" s="11" t="s">
        <v>18</v>
      </c>
      <c r="G14" s="10">
        <v>3.8314176245210726E-3</v>
      </c>
    </row>
    <row r="15" spans="2:10" ht="15.75" thickBot="1" x14ac:dyDescent="0.3">
      <c r="F15" s="9" t="s">
        <v>11</v>
      </c>
      <c r="G15" s="8">
        <v>1</v>
      </c>
    </row>
    <row r="16" spans="2:10" x14ac:dyDescent="0.25">
      <c r="I16" s="14"/>
      <c r="J16" s="14"/>
    </row>
    <row r="17" spans="6:7" ht="15.75" thickBot="1" x14ac:dyDescent="0.3"/>
    <row r="18" spans="6:7" x14ac:dyDescent="0.25">
      <c r="F18" s="13" t="s">
        <v>17</v>
      </c>
      <c r="G18" s="12" t="s">
        <v>16</v>
      </c>
    </row>
    <row r="19" spans="6:7" x14ac:dyDescent="0.25">
      <c r="F19" s="11" t="s">
        <v>15</v>
      </c>
      <c r="G19" s="10">
        <v>1.532567049808429E-2</v>
      </c>
    </row>
    <row r="20" spans="6:7" x14ac:dyDescent="0.25">
      <c r="F20" s="11" t="s">
        <v>14</v>
      </c>
      <c r="G20" s="10">
        <v>0.16858237547892721</v>
      </c>
    </row>
    <row r="21" spans="6:7" x14ac:dyDescent="0.25">
      <c r="F21" s="11" t="s">
        <v>13</v>
      </c>
      <c r="G21" s="10">
        <v>0.19157088122605365</v>
      </c>
    </row>
    <row r="22" spans="6:7" x14ac:dyDescent="0.25">
      <c r="F22" s="11" t="s">
        <v>12</v>
      </c>
      <c r="G22" s="10">
        <v>0.62452107279693492</v>
      </c>
    </row>
    <row r="23" spans="6:7" ht="15.75" thickBot="1" x14ac:dyDescent="0.3">
      <c r="F23" s="9" t="s">
        <v>11</v>
      </c>
      <c r="G23" s="8">
        <v>1</v>
      </c>
    </row>
  </sheetData>
  <mergeCells count="1">
    <mergeCell ref="F5:G7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DA1D-BADF-4EBA-8935-426623D9FD0C}">
  <dimension ref="B3:H89"/>
  <sheetViews>
    <sheetView showGridLines="0" topLeftCell="A2" zoomScale="90" zoomScaleNormal="90" workbookViewId="0">
      <pane ySplit="23" topLeftCell="A25" activePane="bottomLeft" state="frozen"/>
      <selection activeCell="A2" sqref="A2"/>
      <selection pane="bottomLeft" activeCell="C7" sqref="C7"/>
    </sheetView>
  </sheetViews>
  <sheetFormatPr baseColWidth="10" defaultRowHeight="15" x14ac:dyDescent="0.25"/>
  <cols>
    <col min="1" max="3" width="20.7109375" customWidth="1"/>
    <col min="4" max="4" width="5.7109375" customWidth="1"/>
    <col min="5" max="8" width="20.7109375" customWidth="1"/>
    <col min="9" max="9" width="10.7109375" customWidth="1"/>
    <col min="10" max="18" width="20.7109375" customWidth="1"/>
  </cols>
  <sheetData>
    <row r="3" spans="2:5" x14ac:dyDescent="0.25">
      <c r="B3" s="37" t="s">
        <v>31</v>
      </c>
      <c r="C3" s="37"/>
    </row>
    <row r="4" spans="2:5" x14ac:dyDescent="0.25">
      <c r="B4" s="37"/>
      <c r="C4" s="37"/>
    </row>
    <row r="5" spans="2:5" x14ac:dyDescent="0.25">
      <c r="B5" s="37"/>
      <c r="C5" s="37"/>
    </row>
    <row r="8" spans="2:5" ht="15" customHeight="1" x14ac:dyDescent="0.25">
      <c r="D8" s="26"/>
    </row>
    <row r="9" spans="2:5" x14ac:dyDescent="0.25">
      <c r="B9" s="38" t="s">
        <v>32</v>
      </c>
      <c r="C9" s="38"/>
      <c r="D9" s="26"/>
    </row>
    <row r="10" spans="2:5" x14ac:dyDescent="0.25">
      <c r="B10" s="38"/>
      <c r="C10" s="38"/>
      <c r="D10" s="26"/>
    </row>
    <row r="11" spans="2:5" x14ac:dyDescent="0.25">
      <c r="B11" s="38"/>
      <c r="C11" s="38"/>
      <c r="D11" s="26"/>
    </row>
    <row r="12" spans="2:5" x14ac:dyDescent="0.25">
      <c r="B12" s="38"/>
      <c r="C12" s="38"/>
    </row>
    <row r="15" spans="2:5" ht="15.75" thickBot="1" x14ac:dyDescent="0.3"/>
    <row r="16" spans="2:5" ht="15" customHeight="1" x14ac:dyDescent="0.25">
      <c r="B16" s="27" t="s">
        <v>33</v>
      </c>
      <c r="C16" s="28" t="s">
        <v>1</v>
      </c>
      <c r="E16" s="26"/>
    </row>
    <row r="17" spans="2:8" x14ac:dyDescent="0.25">
      <c r="B17" s="21" t="s">
        <v>34</v>
      </c>
      <c r="C17" s="20" t="s">
        <v>35</v>
      </c>
      <c r="E17" s="26"/>
    </row>
    <row r="18" spans="2:8" x14ac:dyDescent="0.25">
      <c r="B18" s="21" t="s">
        <v>36</v>
      </c>
      <c r="C18" s="29" t="s">
        <v>37</v>
      </c>
      <c r="E18" s="26"/>
    </row>
    <row r="19" spans="2:8" x14ac:dyDescent="0.25">
      <c r="B19" s="21" t="s">
        <v>25</v>
      </c>
      <c r="C19" s="20" t="s">
        <v>24</v>
      </c>
      <c r="E19" s="26"/>
    </row>
    <row r="20" spans="2:8" x14ac:dyDescent="0.25">
      <c r="B20" s="21" t="s">
        <v>38</v>
      </c>
      <c r="C20" s="30">
        <v>1</v>
      </c>
    </row>
    <row r="21" spans="2:8" ht="15.75" thickBot="1" x14ac:dyDescent="0.3">
      <c r="B21" s="18" t="s">
        <v>17</v>
      </c>
      <c r="C21" s="17" t="s">
        <v>39</v>
      </c>
    </row>
    <row r="25" spans="2:8" x14ac:dyDescent="0.25">
      <c r="E25" s="33" t="s">
        <v>0</v>
      </c>
      <c r="F25" s="33" t="s">
        <v>48</v>
      </c>
      <c r="G25" s="33" t="s">
        <v>49</v>
      </c>
      <c r="H25" s="33" t="s">
        <v>2</v>
      </c>
    </row>
    <row r="26" spans="2:8" x14ac:dyDescent="0.25">
      <c r="E26" s="32">
        <v>1960</v>
      </c>
      <c r="F26" s="31">
        <v>12424514013.76</v>
      </c>
      <c r="G26" s="31"/>
      <c r="H26" s="31"/>
    </row>
    <row r="27" spans="2:8" x14ac:dyDescent="0.25">
      <c r="E27" s="32">
        <v>1961</v>
      </c>
      <c r="F27" s="31">
        <v>14238126759.733999</v>
      </c>
      <c r="G27" s="31">
        <v>14.6</v>
      </c>
      <c r="H27" s="31">
        <v>0.14599999999999999</v>
      </c>
    </row>
    <row r="28" spans="2:8" x14ac:dyDescent="0.25">
      <c r="E28" s="32">
        <v>1962</v>
      </c>
      <c r="F28" s="31">
        <v>16609632790.584</v>
      </c>
      <c r="G28" s="31">
        <v>16.66</v>
      </c>
      <c r="H28" s="31">
        <v>0.15620000000000001</v>
      </c>
    </row>
    <row r="29" spans="2:8" x14ac:dyDescent="0.25">
      <c r="E29" s="32">
        <v>1963</v>
      </c>
      <c r="F29" s="31">
        <v>19631714759.648998</v>
      </c>
      <c r="G29" s="31">
        <v>18.190000000000001</v>
      </c>
      <c r="H29" s="31">
        <v>0.16470000000000001</v>
      </c>
    </row>
    <row r="30" spans="2:8" x14ac:dyDescent="0.25">
      <c r="E30" s="32">
        <v>1964</v>
      </c>
      <c r="F30" s="31">
        <v>21966876027.251999</v>
      </c>
      <c r="G30" s="31">
        <v>11.89</v>
      </c>
      <c r="H30" s="31">
        <v>0.15310000000000001</v>
      </c>
    </row>
    <row r="31" spans="2:8" x14ac:dyDescent="0.25">
      <c r="E31" s="32">
        <v>1965</v>
      </c>
      <c r="F31" s="31">
        <v>25479619606.528</v>
      </c>
      <c r="G31" s="31">
        <v>15.99</v>
      </c>
      <c r="H31" s="31">
        <v>0.1545</v>
      </c>
    </row>
    <row r="32" spans="2:8" x14ac:dyDescent="0.25">
      <c r="E32" s="32">
        <v>1966</v>
      </c>
      <c r="F32" s="31">
        <v>29559436182.918999</v>
      </c>
      <c r="G32" s="31">
        <v>16.010000000000002</v>
      </c>
      <c r="H32" s="31">
        <v>0.15540000000000001</v>
      </c>
    </row>
    <row r="33" spans="5:8" x14ac:dyDescent="0.25">
      <c r="E33" s="32">
        <v>1967</v>
      </c>
      <c r="F33" s="31">
        <v>32570905397.289001</v>
      </c>
      <c r="G33" s="31">
        <v>10.19</v>
      </c>
      <c r="H33" s="31">
        <v>0.14760000000000001</v>
      </c>
    </row>
    <row r="34" spans="5:8" x14ac:dyDescent="0.25">
      <c r="E34" s="32">
        <v>1968</v>
      </c>
      <c r="F34" s="31">
        <v>32394326463.758999</v>
      </c>
      <c r="G34" s="31">
        <v>-0.54</v>
      </c>
      <c r="H34" s="31">
        <v>0.1273</v>
      </c>
    </row>
    <row r="35" spans="5:8" x14ac:dyDescent="0.25">
      <c r="E35" s="32">
        <v>1969</v>
      </c>
      <c r="F35" s="31">
        <v>37090689287.855003</v>
      </c>
      <c r="G35" s="31">
        <v>14.5</v>
      </c>
      <c r="H35" s="31">
        <v>0.12920000000000001</v>
      </c>
    </row>
    <row r="36" spans="5:8" x14ac:dyDescent="0.25">
      <c r="E36" s="32">
        <v>1970</v>
      </c>
      <c r="F36" s="31">
        <v>40963715236.511002</v>
      </c>
      <c r="G36" s="31">
        <v>10.44</v>
      </c>
      <c r="H36" s="31">
        <v>0.12670000000000001</v>
      </c>
    </row>
    <row r="37" spans="5:8" x14ac:dyDescent="0.25">
      <c r="E37" s="32">
        <v>1971</v>
      </c>
      <c r="F37" s="31">
        <v>46586119760.478996</v>
      </c>
      <c r="G37" s="31">
        <v>13.73</v>
      </c>
      <c r="H37" s="31">
        <v>0.12770000000000001</v>
      </c>
    </row>
    <row r="38" spans="5:8" x14ac:dyDescent="0.25">
      <c r="E38" s="32">
        <v>1972</v>
      </c>
      <c r="F38" s="31">
        <v>59090176028.992996</v>
      </c>
      <c r="G38" s="31">
        <v>26.84</v>
      </c>
      <c r="H38" s="31">
        <v>0.13880000000000001</v>
      </c>
    </row>
    <row r="39" spans="5:8" x14ac:dyDescent="0.25">
      <c r="E39" s="32">
        <v>1973</v>
      </c>
      <c r="F39" s="31">
        <v>78583355225.585007</v>
      </c>
      <c r="G39" s="31">
        <v>32.99</v>
      </c>
      <c r="H39" s="31">
        <v>0.15240000000000001</v>
      </c>
    </row>
    <row r="40" spans="5:8" x14ac:dyDescent="0.25">
      <c r="E40" s="32">
        <v>1974</v>
      </c>
      <c r="F40" s="31">
        <v>97204522642.054001</v>
      </c>
      <c r="G40" s="31">
        <v>23.7</v>
      </c>
      <c r="H40" s="31">
        <v>0.1583</v>
      </c>
    </row>
    <row r="41" spans="5:8" x14ac:dyDescent="0.25">
      <c r="E41" s="32">
        <v>1975</v>
      </c>
      <c r="F41" s="31">
        <v>114695060869.565</v>
      </c>
      <c r="G41" s="31">
        <v>17.989999999999998</v>
      </c>
      <c r="H41" s="31">
        <v>0.15970000000000001</v>
      </c>
    </row>
    <row r="42" spans="5:8" x14ac:dyDescent="0.25">
      <c r="E42" s="32">
        <v>1976</v>
      </c>
      <c r="F42" s="31">
        <v>118422534195.474</v>
      </c>
      <c r="G42" s="31">
        <v>3.25</v>
      </c>
      <c r="H42" s="31">
        <v>0.15129999999999999</v>
      </c>
    </row>
    <row r="43" spans="5:8" x14ac:dyDescent="0.25">
      <c r="E43" s="32">
        <v>1977</v>
      </c>
      <c r="F43" s="31">
        <v>132354665936.47301</v>
      </c>
      <c r="G43" s="31">
        <v>11.76</v>
      </c>
      <c r="H43" s="31">
        <v>0.14929999999999999</v>
      </c>
    </row>
    <row r="44" spans="5:8" x14ac:dyDescent="0.25">
      <c r="E44" s="32">
        <v>1978</v>
      </c>
      <c r="F44" s="31">
        <v>160484969618.056</v>
      </c>
      <c r="G44" s="31">
        <v>21.25</v>
      </c>
      <c r="H44" s="31">
        <v>0.1527</v>
      </c>
    </row>
    <row r="45" spans="5:8" x14ac:dyDescent="0.25">
      <c r="E45" s="32">
        <v>1979</v>
      </c>
      <c r="F45" s="31">
        <v>214448666336.14301</v>
      </c>
      <c r="G45" s="31">
        <v>33.630000000000003</v>
      </c>
      <c r="H45" s="31">
        <v>0.16170000000000001</v>
      </c>
    </row>
    <row r="46" spans="5:8" x14ac:dyDescent="0.25">
      <c r="E46" s="32">
        <v>1980</v>
      </c>
      <c r="F46" s="31">
        <v>232600556973.776</v>
      </c>
      <c r="G46" s="31">
        <v>8.4600000000000009</v>
      </c>
      <c r="H46" s="31">
        <v>0.1578</v>
      </c>
    </row>
    <row r="47" spans="5:8" x14ac:dyDescent="0.25">
      <c r="E47" s="32">
        <v>1981</v>
      </c>
      <c r="F47" s="31">
        <v>202663023968.28299</v>
      </c>
      <c r="G47" s="31">
        <v>-12.87</v>
      </c>
      <c r="H47" s="31">
        <v>0.14219999999999999</v>
      </c>
    </row>
    <row r="48" spans="5:8" x14ac:dyDescent="0.25">
      <c r="E48" s="32">
        <v>1982</v>
      </c>
      <c r="F48" s="31">
        <v>195856752991.065</v>
      </c>
      <c r="G48" s="31">
        <v>-3.36</v>
      </c>
      <c r="H48" s="31">
        <v>0.13350000000000001</v>
      </c>
    </row>
    <row r="49" spans="5:8" x14ac:dyDescent="0.25">
      <c r="E49" s="32">
        <v>1983</v>
      </c>
      <c r="F49" s="31">
        <v>170829074245.94</v>
      </c>
      <c r="G49" s="31">
        <v>-12.78</v>
      </c>
      <c r="H49" s="31">
        <v>0.1207</v>
      </c>
    </row>
    <row r="50" spans="5:8" x14ac:dyDescent="0.25">
      <c r="E50" s="32">
        <v>1984</v>
      </c>
      <c r="F50" s="31">
        <v>171979977230.38699</v>
      </c>
      <c r="G50" s="31">
        <v>0.67</v>
      </c>
      <c r="H50" s="31">
        <v>0.1157</v>
      </c>
    </row>
    <row r="51" spans="5:8" x14ac:dyDescent="0.25">
      <c r="E51" s="32">
        <v>1985</v>
      </c>
      <c r="F51" s="31">
        <v>180664322896.28201</v>
      </c>
      <c r="G51" s="31">
        <v>5.05</v>
      </c>
      <c r="H51" s="31">
        <v>0.113</v>
      </c>
    </row>
    <row r="52" spans="5:8" x14ac:dyDescent="0.25">
      <c r="E52" s="32">
        <v>1986</v>
      </c>
      <c r="F52" s="31">
        <v>251141555185.93301</v>
      </c>
      <c r="G52" s="31">
        <v>39.01</v>
      </c>
      <c r="H52" s="31">
        <v>0.1226</v>
      </c>
    </row>
    <row r="53" spans="5:8" x14ac:dyDescent="0.25">
      <c r="E53" s="32">
        <v>1987</v>
      </c>
      <c r="F53" s="31">
        <v>318520253335.13</v>
      </c>
      <c r="G53" s="31">
        <v>26.83</v>
      </c>
      <c r="H53" s="31">
        <v>0.12770000000000001</v>
      </c>
    </row>
    <row r="54" spans="5:8" x14ac:dyDescent="0.25">
      <c r="E54" s="32">
        <v>1988</v>
      </c>
      <c r="F54" s="31">
        <v>375891716897.586</v>
      </c>
      <c r="G54" s="31">
        <v>18.010000000000002</v>
      </c>
      <c r="H54" s="31">
        <v>0.1295</v>
      </c>
    </row>
    <row r="55" spans="5:8" x14ac:dyDescent="0.25">
      <c r="E55" s="32">
        <v>1989</v>
      </c>
      <c r="F55" s="31">
        <v>414460794096.97803</v>
      </c>
      <c r="G55" s="31">
        <v>10.26</v>
      </c>
      <c r="H55" s="31">
        <v>0.12859999999999999</v>
      </c>
    </row>
    <row r="56" spans="5:8" x14ac:dyDescent="0.25">
      <c r="E56" s="32">
        <v>1990</v>
      </c>
      <c r="F56" s="31">
        <v>536175326477.31</v>
      </c>
      <c r="G56" s="31">
        <v>29.37</v>
      </c>
      <c r="H56" s="31">
        <v>0.13370000000000001</v>
      </c>
    </row>
    <row r="57" spans="5:8" x14ac:dyDescent="0.25">
      <c r="E57" s="32">
        <v>1991</v>
      </c>
      <c r="F57" s="31">
        <v>576753902321.85706</v>
      </c>
      <c r="G57" s="31">
        <v>7.57</v>
      </c>
      <c r="H57" s="31">
        <v>0.1318</v>
      </c>
    </row>
    <row r="58" spans="5:8" x14ac:dyDescent="0.25">
      <c r="E58" s="32">
        <v>1992</v>
      </c>
      <c r="F58" s="31">
        <v>630465353486.104</v>
      </c>
      <c r="G58" s="31">
        <v>9.31</v>
      </c>
      <c r="H58" s="31">
        <v>0.13059999999999999</v>
      </c>
    </row>
    <row r="59" spans="5:8" x14ac:dyDescent="0.25">
      <c r="E59" s="32">
        <v>1993</v>
      </c>
      <c r="F59" s="31">
        <v>524700572623.87201</v>
      </c>
      <c r="G59" s="31">
        <v>-16.78</v>
      </c>
      <c r="H59" s="31">
        <v>0.1201</v>
      </c>
    </row>
    <row r="60" spans="5:8" x14ac:dyDescent="0.25">
      <c r="E60" s="32">
        <v>1994</v>
      </c>
      <c r="F60" s="31">
        <v>530183651720.28302</v>
      </c>
      <c r="G60" s="31">
        <v>1.04</v>
      </c>
      <c r="H60" s="31">
        <v>0.1167</v>
      </c>
    </row>
    <row r="61" spans="5:8" x14ac:dyDescent="0.25">
      <c r="E61" s="32">
        <v>1995</v>
      </c>
      <c r="F61" s="31">
        <v>614170002668.802</v>
      </c>
      <c r="G61" s="31">
        <v>15.84</v>
      </c>
      <c r="H61" s="31">
        <v>0.1179</v>
      </c>
    </row>
    <row r="62" spans="5:8" x14ac:dyDescent="0.25">
      <c r="E62" s="32">
        <v>1996</v>
      </c>
      <c r="F62" s="31">
        <v>642251412058.32104</v>
      </c>
      <c r="G62" s="31">
        <v>4.57</v>
      </c>
      <c r="H62" s="31">
        <v>0.1158</v>
      </c>
    </row>
    <row r="63" spans="5:8" x14ac:dyDescent="0.25">
      <c r="E63" s="32">
        <v>1997</v>
      </c>
      <c r="F63" s="31">
        <v>589739772727.27295</v>
      </c>
      <c r="G63" s="31">
        <v>-8.18</v>
      </c>
      <c r="H63" s="31">
        <v>0.11</v>
      </c>
    </row>
    <row r="64" spans="5:8" x14ac:dyDescent="0.25">
      <c r="E64" s="32">
        <v>1998</v>
      </c>
      <c r="F64" s="31">
        <v>618731484575.12</v>
      </c>
      <c r="G64" s="31">
        <v>4.92</v>
      </c>
      <c r="H64" s="31">
        <v>0.10829999999999999</v>
      </c>
    </row>
    <row r="65" spans="5:8" x14ac:dyDescent="0.25">
      <c r="E65" s="32">
        <v>1999</v>
      </c>
      <c r="F65" s="31">
        <v>634394904386.87402</v>
      </c>
      <c r="G65" s="31">
        <v>2.5299999999999998</v>
      </c>
      <c r="H65" s="31">
        <v>0.1061</v>
      </c>
    </row>
    <row r="66" spans="5:8" x14ac:dyDescent="0.25">
      <c r="E66" s="32">
        <v>2000</v>
      </c>
      <c r="F66" s="31">
        <v>598102854756.07996</v>
      </c>
      <c r="G66" s="31">
        <v>-5.72</v>
      </c>
      <c r="H66" s="31">
        <v>0.1017</v>
      </c>
    </row>
    <row r="67" spans="5:8" x14ac:dyDescent="0.25">
      <c r="E67" s="32">
        <v>2001</v>
      </c>
      <c r="F67" s="31">
        <v>627798682378.74097</v>
      </c>
      <c r="G67" s="31">
        <v>4.97</v>
      </c>
      <c r="H67" s="31">
        <v>0.1004</v>
      </c>
    </row>
    <row r="68" spans="5:8" x14ac:dyDescent="0.25">
      <c r="E68" s="32">
        <v>2002</v>
      </c>
      <c r="F68" s="31">
        <v>708938227243.92297</v>
      </c>
      <c r="G68" s="31">
        <v>12.92</v>
      </c>
      <c r="H68" s="31">
        <v>0.1011</v>
      </c>
    </row>
    <row r="69" spans="5:8" x14ac:dyDescent="0.25">
      <c r="E69" s="32">
        <v>2003</v>
      </c>
      <c r="F69" s="31">
        <v>907963217057.64502</v>
      </c>
      <c r="G69" s="31">
        <v>28.07</v>
      </c>
      <c r="H69" s="31">
        <v>0.105</v>
      </c>
    </row>
    <row r="70" spans="5:8" x14ac:dyDescent="0.25">
      <c r="E70" s="32">
        <v>2004</v>
      </c>
      <c r="F70" s="31">
        <v>1069829382514.67</v>
      </c>
      <c r="G70" s="31">
        <v>17.829999999999998</v>
      </c>
      <c r="H70" s="31">
        <v>0.1066</v>
      </c>
    </row>
    <row r="71" spans="5:8" x14ac:dyDescent="0.25">
      <c r="E71" s="32">
        <v>2005</v>
      </c>
      <c r="F71" s="31">
        <v>1154667551775.8799</v>
      </c>
      <c r="G71" s="31">
        <v>7.93</v>
      </c>
      <c r="H71" s="31">
        <v>0.106</v>
      </c>
    </row>
    <row r="72" spans="5:8" x14ac:dyDescent="0.25">
      <c r="E72" s="32">
        <v>2006</v>
      </c>
      <c r="F72" s="31">
        <v>1261846683275.29</v>
      </c>
      <c r="G72" s="31">
        <v>9.2799999999999994</v>
      </c>
      <c r="H72" s="31">
        <v>0.1057</v>
      </c>
    </row>
    <row r="73" spans="5:8" x14ac:dyDescent="0.25">
      <c r="E73" s="32">
        <v>2007</v>
      </c>
      <c r="F73" s="31">
        <v>1476746276854.51</v>
      </c>
      <c r="G73" s="31">
        <v>17.03</v>
      </c>
      <c r="H73" s="31">
        <v>0.107</v>
      </c>
    </row>
    <row r="74" spans="5:8" x14ac:dyDescent="0.25">
      <c r="E74" s="32">
        <v>2008</v>
      </c>
      <c r="F74" s="31">
        <v>1636115447612.5</v>
      </c>
      <c r="G74" s="31">
        <v>10.79</v>
      </c>
      <c r="H74" s="31">
        <v>0.107</v>
      </c>
    </row>
    <row r="75" spans="5:8" x14ac:dyDescent="0.25">
      <c r="E75" s="32">
        <v>2009</v>
      </c>
      <c r="F75" s="31">
        <v>1496587590847.6599</v>
      </c>
      <c r="G75" s="31">
        <v>-8.5299999999999994</v>
      </c>
      <c r="H75" s="31">
        <v>0.1027</v>
      </c>
    </row>
    <row r="76" spans="5:8" x14ac:dyDescent="0.25">
      <c r="E76" s="32">
        <v>2010</v>
      </c>
      <c r="F76" s="31">
        <v>1427989078916.6699</v>
      </c>
      <c r="G76" s="31">
        <v>-4.58</v>
      </c>
      <c r="H76" s="31">
        <v>9.9500000000000005E-2</v>
      </c>
    </row>
    <row r="77" spans="5:8" x14ac:dyDescent="0.25">
      <c r="E77" s="32">
        <v>2011</v>
      </c>
      <c r="F77" s="31">
        <v>1487568659241.25</v>
      </c>
      <c r="G77" s="31">
        <v>4.17</v>
      </c>
      <c r="H77" s="31">
        <v>9.8400000000000001E-2</v>
      </c>
    </row>
    <row r="78" spans="5:8" x14ac:dyDescent="0.25">
      <c r="E78" s="32">
        <v>2012</v>
      </c>
      <c r="F78" s="31">
        <v>1330994811670.3101</v>
      </c>
      <c r="G78" s="31">
        <v>-10.53</v>
      </c>
      <c r="H78" s="31">
        <v>9.4E-2</v>
      </c>
    </row>
    <row r="79" spans="5:8" x14ac:dyDescent="0.25">
      <c r="E79" s="32">
        <v>2013</v>
      </c>
      <c r="F79" s="31">
        <v>1362186923157.6499</v>
      </c>
      <c r="G79" s="31">
        <v>2.34</v>
      </c>
      <c r="H79" s="31">
        <v>9.2700000000000005E-2</v>
      </c>
    </row>
    <row r="80" spans="5:8" x14ac:dyDescent="0.25">
      <c r="E80" s="32">
        <v>2014</v>
      </c>
      <c r="F80" s="31">
        <v>1380244561361.96</v>
      </c>
      <c r="G80" s="31">
        <v>1.33</v>
      </c>
      <c r="H80" s="31">
        <v>9.11E-2</v>
      </c>
    </row>
    <row r="81" spans="5:8" x14ac:dyDescent="0.25">
      <c r="E81" s="32">
        <v>2015</v>
      </c>
      <c r="F81" s="31">
        <v>1206164777553.1201</v>
      </c>
      <c r="G81" s="31">
        <v>-12.61</v>
      </c>
      <c r="H81" s="31">
        <v>8.6699999999999999E-2</v>
      </c>
    </row>
    <row r="82" spans="5:8" x14ac:dyDescent="0.25">
      <c r="E82" s="32">
        <v>2016</v>
      </c>
      <c r="F82" s="31">
        <v>1243015667917.1201</v>
      </c>
      <c r="G82" s="31">
        <v>3.06</v>
      </c>
      <c r="H82" s="31">
        <v>8.5699999999999998E-2</v>
      </c>
    </row>
    <row r="83" spans="5:8" x14ac:dyDescent="0.25">
      <c r="E83" s="32">
        <v>2017</v>
      </c>
      <c r="F83" s="31">
        <v>1321754088818.8301</v>
      </c>
      <c r="G83" s="31">
        <v>6.33</v>
      </c>
      <c r="H83" s="31">
        <v>8.5300000000000001E-2</v>
      </c>
    </row>
    <row r="84" spans="5:8" x14ac:dyDescent="0.25">
      <c r="E84" s="32">
        <v>2018</v>
      </c>
      <c r="F84" s="31">
        <v>1431642809327.0601</v>
      </c>
      <c r="G84" s="31">
        <v>8.31</v>
      </c>
      <c r="H84" s="31">
        <v>8.5300000000000001E-2</v>
      </c>
    </row>
    <row r="85" spans="5:8" x14ac:dyDescent="0.25">
      <c r="E85" s="32">
        <v>2019</v>
      </c>
      <c r="F85" s="31">
        <v>1403496387686.27</v>
      </c>
      <c r="G85" s="31">
        <v>-1.97</v>
      </c>
      <c r="H85" s="31">
        <v>8.3400000000000002E-2</v>
      </c>
    </row>
    <row r="86" spans="5:8" x14ac:dyDescent="0.25">
      <c r="E86" s="32">
        <v>2020</v>
      </c>
      <c r="F86" s="31">
        <v>1289783836971.21</v>
      </c>
      <c r="G86" s="31">
        <v>-8.1</v>
      </c>
      <c r="H86" s="31">
        <v>8.0399999999999999E-2</v>
      </c>
    </row>
    <row r="87" spans="5:8" x14ac:dyDescent="0.25">
      <c r="E87" s="32">
        <v>2021</v>
      </c>
      <c r="F87" s="31">
        <v>1461244901852.6899</v>
      </c>
      <c r="G87" s="31">
        <v>13.29</v>
      </c>
      <c r="H87" s="31">
        <v>8.1299999999999997E-2</v>
      </c>
    </row>
    <row r="88" spans="5:8" x14ac:dyDescent="0.25">
      <c r="E88" s="32">
        <v>2022</v>
      </c>
      <c r="F88" s="31">
        <v>1448850658406.6201</v>
      </c>
      <c r="G88" s="31">
        <v>-0.85</v>
      </c>
      <c r="H88" s="31">
        <v>7.9799999999999996E-2</v>
      </c>
    </row>
    <row r="89" spans="5:8" x14ac:dyDescent="0.25">
      <c r="E89" s="32">
        <v>2023</v>
      </c>
      <c r="F89" s="31">
        <v>1619481980719.6399</v>
      </c>
      <c r="G89" s="31">
        <v>11.78</v>
      </c>
      <c r="H89" s="31">
        <v>8.0399999999999999E-2</v>
      </c>
    </row>
  </sheetData>
  <mergeCells count="2">
    <mergeCell ref="B3:C5"/>
    <mergeCell ref="B9:C1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8FBB-571A-4731-ACC5-74794DDCFEFE}">
  <dimension ref="B3:K21"/>
  <sheetViews>
    <sheetView showGridLines="0" tabSelected="1" zoomScale="90" zoomScaleNormal="90" workbookViewId="0">
      <selection activeCell="C6" sqref="C6"/>
    </sheetView>
  </sheetViews>
  <sheetFormatPr baseColWidth="10" defaultRowHeight="15" x14ac:dyDescent="0.25"/>
  <cols>
    <col min="1" max="1" width="16.42578125" customWidth="1"/>
    <col min="2" max="3" width="20.7109375" customWidth="1"/>
    <col min="4" max="4" width="5.7109375" customWidth="1"/>
    <col min="5" max="8" width="20.7109375" customWidth="1"/>
    <col min="9" max="9" width="5.7109375" customWidth="1"/>
    <col min="10" max="14" width="20.7109375" customWidth="1"/>
  </cols>
  <sheetData>
    <row r="3" spans="2:8" x14ac:dyDescent="0.25">
      <c r="B3" s="37" t="s">
        <v>113</v>
      </c>
      <c r="C3" s="37"/>
    </row>
    <row r="4" spans="2:8" x14ac:dyDescent="0.25">
      <c r="B4" s="37"/>
      <c r="C4" s="37"/>
    </row>
    <row r="5" spans="2:8" x14ac:dyDescent="0.25">
      <c r="B5" s="37"/>
      <c r="C5" s="37"/>
    </row>
    <row r="7" spans="2:8" ht="15" customHeight="1" x14ac:dyDescent="0.25">
      <c r="B7" s="38" t="s">
        <v>55</v>
      </c>
      <c r="C7" s="38"/>
    </row>
    <row r="8" spans="2:8" x14ac:dyDescent="0.25">
      <c r="B8" s="38"/>
      <c r="C8" s="38"/>
    </row>
    <row r="9" spans="2:8" x14ac:dyDescent="0.25">
      <c r="B9" s="38"/>
      <c r="C9" s="38"/>
    </row>
    <row r="10" spans="2:8" x14ac:dyDescent="0.25">
      <c r="B10" s="38"/>
      <c r="C10" s="38"/>
    </row>
    <row r="11" spans="2:8" ht="15" customHeight="1" x14ac:dyDescent="0.25">
      <c r="B11" s="38"/>
      <c r="C11" s="38"/>
    </row>
    <row r="12" spans="2:8" x14ac:dyDescent="0.25">
      <c r="B12" s="38"/>
      <c r="C12" s="38"/>
    </row>
    <row r="13" spans="2:8" x14ac:dyDescent="0.25">
      <c r="B13" s="38"/>
      <c r="C13" s="38"/>
    </row>
    <row r="14" spans="2:8" ht="15.75" thickBot="1" x14ac:dyDescent="0.3"/>
    <row r="15" spans="2:8" x14ac:dyDescent="0.25">
      <c r="B15" s="27" t="s">
        <v>33</v>
      </c>
      <c r="C15" s="28" t="s">
        <v>1</v>
      </c>
      <c r="E15" s="35" t="s">
        <v>25</v>
      </c>
      <c r="F15" s="35" t="s">
        <v>50</v>
      </c>
      <c r="G15" s="35" t="s">
        <v>51</v>
      </c>
      <c r="H15" s="35" t="s">
        <v>2</v>
      </c>
    </row>
    <row r="16" spans="2:8" x14ac:dyDescent="0.25">
      <c r="B16" s="21" t="s">
        <v>34</v>
      </c>
      <c r="C16" s="20" t="s">
        <v>35</v>
      </c>
      <c r="E16" s="34" t="s">
        <v>45</v>
      </c>
      <c r="F16" s="31">
        <v>12424514013.76</v>
      </c>
      <c r="G16" s="31">
        <v>40963715236.511002</v>
      </c>
      <c r="H16" s="31">
        <v>0.12670000000000001</v>
      </c>
    </row>
    <row r="17" spans="2:11" x14ac:dyDescent="0.25">
      <c r="B17" s="21" t="s">
        <v>36</v>
      </c>
      <c r="C17" s="29" t="s">
        <v>37</v>
      </c>
      <c r="E17" s="34" t="s">
        <v>44</v>
      </c>
      <c r="F17" s="31">
        <v>40963715236.511002</v>
      </c>
      <c r="G17" s="31">
        <v>232600556973.776</v>
      </c>
      <c r="H17" s="31">
        <v>0.18970000000000001</v>
      </c>
    </row>
    <row r="18" spans="2:11" x14ac:dyDescent="0.25">
      <c r="B18" s="21" t="s">
        <v>25</v>
      </c>
      <c r="C18" s="20" t="s">
        <v>52</v>
      </c>
      <c r="E18" s="34" t="s">
        <v>43</v>
      </c>
      <c r="F18" s="31">
        <v>232600556973.776</v>
      </c>
      <c r="G18" s="31">
        <v>536175326477.31</v>
      </c>
      <c r="H18" s="31">
        <v>8.7099999999999997E-2</v>
      </c>
    </row>
    <row r="19" spans="2:11" x14ac:dyDescent="0.25">
      <c r="B19" s="21" t="s">
        <v>53</v>
      </c>
      <c r="C19" s="36" t="s">
        <v>54</v>
      </c>
      <c r="E19" s="34" t="s">
        <v>42</v>
      </c>
      <c r="F19" s="31">
        <v>536175326477.31</v>
      </c>
      <c r="G19" s="31">
        <v>598102854756.07996</v>
      </c>
      <c r="H19" s="31">
        <v>1.0999999999999999E-2</v>
      </c>
      <c r="J19" s="39" t="s">
        <v>56</v>
      </c>
      <c r="K19" s="39"/>
    </row>
    <row r="20" spans="2:11" x14ac:dyDescent="0.25">
      <c r="B20" s="21" t="s">
        <v>38</v>
      </c>
      <c r="C20" s="30">
        <v>1</v>
      </c>
      <c r="E20" s="34" t="s">
        <v>41</v>
      </c>
      <c r="F20" s="31">
        <v>598102854756.07996</v>
      </c>
      <c r="G20" s="31">
        <v>1427989078916.6699</v>
      </c>
      <c r="H20" s="31">
        <v>9.0899999999999995E-2</v>
      </c>
      <c r="J20" s="39"/>
      <c r="K20" s="39"/>
    </row>
    <row r="21" spans="2:11" ht="15.75" thickBot="1" x14ac:dyDescent="0.3">
      <c r="B21" s="18" t="s">
        <v>17</v>
      </c>
      <c r="C21" s="17" t="s">
        <v>39</v>
      </c>
      <c r="E21" s="34" t="s">
        <v>40</v>
      </c>
      <c r="F21" s="31">
        <v>1427989078916.6699</v>
      </c>
      <c r="G21" s="31">
        <v>1289783836971.21</v>
      </c>
      <c r="H21" s="31">
        <v>-1.01E-2</v>
      </c>
      <c r="J21" s="39"/>
      <c r="K21" s="39"/>
    </row>
  </sheetData>
  <mergeCells count="3">
    <mergeCell ref="B3:C5"/>
    <mergeCell ref="B7:C13"/>
    <mergeCell ref="J19:K2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35FE-DED4-41A4-A5BB-CFC50817DBD2}">
  <dimension ref="A1:F57"/>
  <sheetViews>
    <sheetView topLeftCell="A13" workbookViewId="0">
      <selection activeCell="H4" sqref="H4"/>
    </sheetView>
  </sheetViews>
  <sheetFormatPr baseColWidth="10" defaultRowHeight="15" x14ac:dyDescent="0.25"/>
  <cols>
    <col min="4" max="4" width="14" customWidth="1"/>
    <col min="5" max="5" width="12.85546875" customWidth="1"/>
    <col min="6" max="6" width="17.28515625" customWidth="1"/>
  </cols>
  <sheetData>
    <row r="1" spans="1:6" x14ac:dyDescent="0.25">
      <c r="A1" t="s">
        <v>112</v>
      </c>
      <c r="B1" t="s">
        <v>111</v>
      </c>
      <c r="C1" t="s">
        <v>47</v>
      </c>
      <c r="D1" t="s">
        <v>110</v>
      </c>
      <c r="E1" t="s">
        <v>46</v>
      </c>
      <c r="F1" t="s">
        <v>109</v>
      </c>
    </row>
    <row r="2" spans="1:6" x14ac:dyDescent="0.25">
      <c r="A2" t="s">
        <v>59</v>
      </c>
      <c r="B2" t="s">
        <v>58</v>
      </c>
      <c r="C2" t="s">
        <v>45</v>
      </c>
      <c r="D2" s="31">
        <v>12424514013.76</v>
      </c>
      <c r="E2" s="31">
        <v>40963715236.511002</v>
      </c>
      <c r="F2" s="31">
        <v>0.12670000000000001</v>
      </c>
    </row>
    <row r="3" spans="1:6" x14ac:dyDescent="0.25">
      <c r="A3" t="s">
        <v>59</v>
      </c>
      <c r="B3" t="s">
        <v>58</v>
      </c>
      <c r="C3" t="s">
        <v>108</v>
      </c>
      <c r="D3" s="31">
        <v>14238126759.733999</v>
      </c>
      <c r="E3" s="31">
        <v>46586119760.478996</v>
      </c>
      <c r="F3" s="31">
        <v>0.1258</v>
      </c>
    </row>
    <row r="4" spans="1:6" x14ac:dyDescent="0.25">
      <c r="A4" t="s">
        <v>59</v>
      </c>
      <c r="B4" t="s">
        <v>58</v>
      </c>
      <c r="C4" t="s">
        <v>107</v>
      </c>
      <c r="D4" s="31">
        <v>16609632790.584</v>
      </c>
      <c r="E4" s="31">
        <v>59090176028.992996</v>
      </c>
      <c r="F4" s="31">
        <v>0.1353</v>
      </c>
    </row>
    <row r="5" spans="1:6" x14ac:dyDescent="0.25">
      <c r="A5" t="s">
        <v>59</v>
      </c>
      <c r="B5" t="s">
        <v>58</v>
      </c>
      <c r="C5" t="s">
        <v>106</v>
      </c>
      <c r="D5" s="31">
        <v>19631714759.648998</v>
      </c>
      <c r="E5" s="31">
        <v>78583355225.585007</v>
      </c>
      <c r="F5" s="31">
        <v>0.14879999999999999</v>
      </c>
    </row>
    <row r="6" spans="1:6" x14ac:dyDescent="0.25">
      <c r="A6" t="s">
        <v>59</v>
      </c>
      <c r="B6" t="s">
        <v>58</v>
      </c>
      <c r="C6" t="s">
        <v>105</v>
      </c>
      <c r="D6" s="31">
        <v>21966876027.251999</v>
      </c>
      <c r="E6" s="31">
        <v>97204522642.054001</v>
      </c>
      <c r="F6" s="31">
        <v>0.16039999999999999</v>
      </c>
    </row>
    <row r="7" spans="1:6" x14ac:dyDescent="0.25">
      <c r="A7" t="s">
        <v>59</v>
      </c>
      <c r="B7" t="s">
        <v>58</v>
      </c>
      <c r="C7" t="s">
        <v>104</v>
      </c>
      <c r="D7" s="31">
        <v>25479619606.528</v>
      </c>
      <c r="E7" s="31">
        <v>114695060869.565</v>
      </c>
      <c r="F7" s="31">
        <v>0.1623</v>
      </c>
    </row>
    <row r="8" spans="1:6" x14ac:dyDescent="0.25">
      <c r="A8" t="s">
        <v>59</v>
      </c>
      <c r="B8" t="s">
        <v>58</v>
      </c>
      <c r="C8" t="s">
        <v>103</v>
      </c>
      <c r="D8" s="31">
        <v>29559436182.918999</v>
      </c>
      <c r="E8" s="31">
        <v>118422534195.474</v>
      </c>
      <c r="F8" s="31">
        <v>0.1489</v>
      </c>
    </row>
    <row r="9" spans="1:6" x14ac:dyDescent="0.25">
      <c r="A9" t="s">
        <v>59</v>
      </c>
      <c r="B9" t="s">
        <v>58</v>
      </c>
      <c r="C9" t="s">
        <v>102</v>
      </c>
      <c r="D9" s="31">
        <v>32570905397.289001</v>
      </c>
      <c r="E9" s="31">
        <v>132354665936.47301</v>
      </c>
      <c r="F9" s="31">
        <v>0.15049999999999999</v>
      </c>
    </row>
    <row r="10" spans="1:6" x14ac:dyDescent="0.25">
      <c r="A10" t="s">
        <v>59</v>
      </c>
      <c r="B10" t="s">
        <v>58</v>
      </c>
      <c r="C10" t="s">
        <v>101</v>
      </c>
      <c r="D10" s="31">
        <v>32394326463.758999</v>
      </c>
      <c r="E10" s="31">
        <v>160484969618.056</v>
      </c>
      <c r="F10" s="31">
        <v>0.17349999999999999</v>
      </c>
    </row>
    <row r="11" spans="1:6" x14ac:dyDescent="0.25">
      <c r="A11" t="s">
        <v>59</v>
      </c>
      <c r="B11" t="s">
        <v>58</v>
      </c>
      <c r="C11" t="s">
        <v>100</v>
      </c>
      <c r="D11" s="31">
        <v>37090689287.855003</v>
      </c>
      <c r="E11" s="31">
        <v>214448666336.14301</v>
      </c>
      <c r="F11" s="31">
        <v>0.1918</v>
      </c>
    </row>
    <row r="12" spans="1:6" x14ac:dyDescent="0.25">
      <c r="A12" t="s">
        <v>59</v>
      </c>
      <c r="B12" t="s">
        <v>58</v>
      </c>
      <c r="C12" t="s">
        <v>44</v>
      </c>
      <c r="D12" s="31">
        <v>40963715236.511002</v>
      </c>
      <c r="E12" s="31">
        <v>232600556973.776</v>
      </c>
      <c r="F12" s="31">
        <v>0.18970000000000001</v>
      </c>
    </row>
    <row r="13" spans="1:6" x14ac:dyDescent="0.25">
      <c r="A13" t="s">
        <v>59</v>
      </c>
      <c r="B13" t="s">
        <v>58</v>
      </c>
      <c r="C13" t="s">
        <v>99</v>
      </c>
      <c r="D13" s="31">
        <v>46586119760.478996</v>
      </c>
      <c r="E13" s="31">
        <v>202663023968.28299</v>
      </c>
      <c r="F13" s="31">
        <v>0.15840000000000001</v>
      </c>
    </row>
    <row r="14" spans="1:6" x14ac:dyDescent="0.25">
      <c r="A14" t="s">
        <v>59</v>
      </c>
      <c r="B14" t="s">
        <v>58</v>
      </c>
      <c r="C14" t="s">
        <v>98</v>
      </c>
      <c r="D14" s="31">
        <v>59090176028.992996</v>
      </c>
      <c r="E14" s="31">
        <v>195856752991.065</v>
      </c>
      <c r="F14" s="31">
        <v>0.1273</v>
      </c>
    </row>
    <row r="15" spans="1:6" x14ac:dyDescent="0.25">
      <c r="A15" t="s">
        <v>59</v>
      </c>
      <c r="B15" t="s">
        <v>58</v>
      </c>
      <c r="C15" t="s">
        <v>97</v>
      </c>
      <c r="D15" s="31">
        <v>78583355225.585007</v>
      </c>
      <c r="E15" s="31">
        <v>170829074245.94</v>
      </c>
      <c r="F15" s="31">
        <v>8.0699999999999994E-2</v>
      </c>
    </row>
    <row r="16" spans="1:6" x14ac:dyDescent="0.25">
      <c r="A16" t="s">
        <v>59</v>
      </c>
      <c r="B16" t="s">
        <v>58</v>
      </c>
      <c r="C16" t="s">
        <v>96</v>
      </c>
      <c r="D16" s="31">
        <v>97204522642.054001</v>
      </c>
      <c r="E16" s="31">
        <v>171979977230.38699</v>
      </c>
      <c r="F16" s="31">
        <v>5.8700000000000002E-2</v>
      </c>
    </row>
    <row r="17" spans="1:6" x14ac:dyDescent="0.25">
      <c r="A17" t="s">
        <v>59</v>
      </c>
      <c r="B17" t="s">
        <v>58</v>
      </c>
      <c r="C17" t="s">
        <v>95</v>
      </c>
      <c r="D17" s="31">
        <v>114695060869.565</v>
      </c>
      <c r="E17" s="31">
        <v>180664322896.28201</v>
      </c>
      <c r="F17" s="31">
        <v>4.65E-2</v>
      </c>
    </row>
    <row r="18" spans="1:6" x14ac:dyDescent="0.25">
      <c r="A18" t="s">
        <v>59</v>
      </c>
      <c r="B18" t="s">
        <v>58</v>
      </c>
      <c r="C18" t="s">
        <v>94</v>
      </c>
      <c r="D18" s="31">
        <v>118422534195.474</v>
      </c>
      <c r="E18" s="31">
        <v>251141555185.93301</v>
      </c>
      <c r="F18" s="31">
        <v>7.8100000000000003E-2</v>
      </c>
    </row>
    <row r="19" spans="1:6" x14ac:dyDescent="0.25">
      <c r="A19" t="s">
        <v>59</v>
      </c>
      <c r="B19" t="s">
        <v>58</v>
      </c>
      <c r="C19" t="s">
        <v>93</v>
      </c>
      <c r="D19" s="31">
        <v>132354665936.47301</v>
      </c>
      <c r="E19" s="31">
        <v>318520253335.13</v>
      </c>
      <c r="F19" s="31">
        <v>9.1800000000000007E-2</v>
      </c>
    </row>
    <row r="20" spans="1:6" x14ac:dyDescent="0.25">
      <c r="A20" t="s">
        <v>59</v>
      </c>
      <c r="B20" t="s">
        <v>58</v>
      </c>
      <c r="C20" t="s">
        <v>92</v>
      </c>
      <c r="D20" s="31">
        <v>160484969618.056</v>
      </c>
      <c r="E20" s="31">
        <v>375891716897.586</v>
      </c>
      <c r="F20" s="31">
        <v>8.8800000000000004E-2</v>
      </c>
    </row>
    <row r="21" spans="1:6" x14ac:dyDescent="0.25">
      <c r="A21" t="s">
        <v>59</v>
      </c>
      <c r="B21" t="s">
        <v>58</v>
      </c>
      <c r="C21" t="s">
        <v>91</v>
      </c>
      <c r="D21" s="31">
        <v>214448666336.14301</v>
      </c>
      <c r="E21" s="31">
        <v>414460794096.97803</v>
      </c>
      <c r="F21" s="31">
        <v>6.8099999999999994E-2</v>
      </c>
    </row>
    <row r="22" spans="1:6" x14ac:dyDescent="0.25">
      <c r="A22" t="s">
        <v>59</v>
      </c>
      <c r="B22" t="s">
        <v>58</v>
      </c>
      <c r="C22" t="s">
        <v>43</v>
      </c>
      <c r="D22" s="31">
        <v>232600556973.776</v>
      </c>
      <c r="E22" s="31">
        <v>536175326477.31</v>
      </c>
      <c r="F22" s="31">
        <v>8.7099999999999997E-2</v>
      </c>
    </row>
    <row r="23" spans="1:6" x14ac:dyDescent="0.25">
      <c r="A23" t="s">
        <v>59</v>
      </c>
      <c r="B23" t="s">
        <v>58</v>
      </c>
      <c r="C23" t="s">
        <v>90</v>
      </c>
      <c r="D23" s="31">
        <v>202663023968.28299</v>
      </c>
      <c r="E23" s="31">
        <v>576753902321.85706</v>
      </c>
      <c r="F23" s="31">
        <v>0.1103</v>
      </c>
    </row>
    <row r="24" spans="1:6" x14ac:dyDescent="0.25">
      <c r="A24" t="s">
        <v>59</v>
      </c>
      <c r="B24" t="s">
        <v>58</v>
      </c>
      <c r="C24" t="s">
        <v>89</v>
      </c>
      <c r="D24" s="31">
        <v>195856752991.065</v>
      </c>
      <c r="E24" s="31">
        <v>630465353486.104</v>
      </c>
      <c r="F24" s="31">
        <v>0.124</v>
      </c>
    </row>
    <row r="25" spans="1:6" x14ac:dyDescent="0.25">
      <c r="A25" t="s">
        <v>59</v>
      </c>
      <c r="B25" t="s">
        <v>58</v>
      </c>
      <c r="C25" t="s">
        <v>88</v>
      </c>
      <c r="D25" s="31">
        <v>170829074245.94</v>
      </c>
      <c r="E25" s="31">
        <v>524700572623.87201</v>
      </c>
      <c r="F25" s="31">
        <v>0.1188</v>
      </c>
    </row>
    <row r="26" spans="1:6" x14ac:dyDescent="0.25">
      <c r="A26" t="s">
        <v>59</v>
      </c>
      <c r="B26" t="s">
        <v>58</v>
      </c>
      <c r="C26" t="s">
        <v>87</v>
      </c>
      <c r="D26" s="31">
        <v>171979977230.38699</v>
      </c>
      <c r="E26" s="31">
        <v>530183651720.28302</v>
      </c>
      <c r="F26" s="31">
        <v>0.1192</v>
      </c>
    </row>
    <row r="27" spans="1:6" x14ac:dyDescent="0.25">
      <c r="A27" t="s">
        <v>59</v>
      </c>
      <c r="B27" t="s">
        <v>58</v>
      </c>
      <c r="C27" t="s">
        <v>86</v>
      </c>
      <c r="D27" s="31">
        <v>180664322896.28201</v>
      </c>
      <c r="E27" s="31">
        <v>614170002668.802</v>
      </c>
      <c r="F27" s="31">
        <v>0.13020000000000001</v>
      </c>
    </row>
    <row r="28" spans="1:6" x14ac:dyDescent="0.25">
      <c r="A28" t="s">
        <v>59</v>
      </c>
      <c r="B28" t="s">
        <v>58</v>
      </c>
      <c r="C28" t="s">
        <v>85</v>
      </c>
      <c r="D28" s="31">
        <v>251141555185.93301</v>
      </c>
      <c r="E28" s="31">
        <v>642251412058.32104</v>
      </c>
      <c r="F28" s="31">
        <v>9.8400000000000001E-2</v>
      </c>
    </row>
    <row r="29" spans="1:6" x14ac:dyDescent="0.25">
      <c r="A29" t="s">
        <v>59</v>
      </c>
      <c r="B29" t="s">
        <v>58</v>
      </c>
      <c r="C29" t="s">
        <v>84</v>
      </c>
      <c r="D29" s="31">
        <v>318520253335.13</v>
      </c>
      <c r="E29" s="31">
        <v>589739772727.27295</v>
      </c>
      <c r="F29" s="31">
        <v>6.3500000000000001E-2</v>
      </c>
    </row>
    <row r="30" spans="1:6" x14ac:dyDescent="0.25">
      <c r="A30" t="s">
        <v>59</v>
      </c>
      <c r="B30" t="s">
        <v>58</v>
      </c>
      <c r="C30" t="s">
        <v>83</v>
      </c>
      <c r="D30" s="31">
        <v>375891716897.586</v>
      </c>
      <c r="E30" s="31">
        <v>618731484575.12</v>
      </c>
      <c r="F30" s="31">
        <v>5.11E-2</v>
      </c>
    </row>
    <row r="31" spans="1:6" x14ac:dyDescent="0.25">
      <c r="A31" t="s">
        <v>59</v>
      </c>
      <c r="B31" t="s">
        <v>58</v>
      </c>
      <c r="C31" t="s">
        <v>82</v>
      </c>
      <c r="D31" s="31">
        <v>414460794096.97803</v>
      </c>
      <c r="E31" s="31">
        <v>634394904386.87402</v>
      </c>
      <c r="F31" s="31">
        <v>4.3499999999999997E-2</v>
      </c>
    </row>
    <row r="32" spans="1:6" x14ac:dyDescent="0.25">
      <c r="A32" t="s">
        <v>59</v>
      </c>
      <c r="B32" t="s">
        <v>58</v>
      </c>
      <c r="C32" t="s">
        <v>42</v>
      </c>
      <c r="D32" s="31">
        <v>536175326477.31</v>
      </c>
      <c r="E32" s="31">
        <v>598102854756.07996</v>
      </c>
      <c r="F32" s="31">
        <v>1.0999999999999999E-2</v>
      </c>
    </row>
    <row r="33" spans="1:6" x14ac:dyDescent="0.25">
      <c r="A33" t="s">
        <v>59</v>
      </c>
      <c r="B33" t="s">
        <v>58</v>
      </c>
      <c r="C33" t="s">
        <v>81</v>
      </c>
      <c r="D33" s="31">
        <v>576753902321.85706</v>
      </c>
      <c r="E33" s="31">
        <v>627798682378.74097</v>
      </c>
      <c r="F33" s="31">
        <v>8.5000000000000006E-3</v>
      </c>
    </row>
    <row r="34" spans="1:6" x14ac:dyDescent="0.25">
      <c r="A34" t="s">
        <v>59</v>
      </c>
      <c r="B34" t="s">
        <v>58</v>
      </c>
      <c r="C34" t="s">
        <v>80</v>
      </c>
      <c r="D34" s="31">
        <v>630465353486.104</v>
      </c>
      <c r="E34" s="31">
        <v>708938227243.92297</v>
      </c>
      <c r="F34" s="31">
        <v>1.18E-2</v>
      </c>
    </row>
    <row r="35" spans="1:6" x14ac:dyDescent="0.25">
      <c r="A35" t="s">
        <v>59</v>
      </c>
      <c r="B35" t="s">
        <v>58</v>
      </c>
      <c r="C35" t="s">
        <v>79</v>
      </c>
      <c r="D35" s="31">
        <v>524700572623.87201</v>
      </c>
      <c r="E35" s="31">
        <v>907963217057.64502</v>
      </c>
      <c r="F35" s="31">
        <v>5.6399999999999999E-2</v>
      </c>
    </row>
    <row r="36" spans="1:6" x14ac:dyDescent="0.25">
      <c r="A36" t="s">
        <v>59</v>
      </c>
      <c r="B36" t="s">
        <v>58</v>
      </c>
      <c r="C36" t="s">
        <v>78</v>
      </c>
      <c r="D36" s="31">
        <v>530183651720.28302</v>
      </c>
      <c r="E36" s="31">
        <v>1069829382514.67</v>
      </c>
      <c r="F36" s="31">
        <v>7.2700000000000001E-2</v>
      </c>
    </row>
    <row r="37" spans="1:6" x14ac:dyDescent="0.25">
      <c r="A37" t="s">
        <v>59</v>
      </c>
      <c r="B37" t="s">
        <v>58</v>
      </c>
      <c r="C37" t="s">
        <v>77</v>
      </c>
      <c r="D37" s="31">
        <v>614170002668.802</v>
      </c>
      <c r="E37" s="31">
        <v>1154667551775.8799</v>
      </c>
      <c r="F37" s="31">
        <v>6.5199999999999994E-2</v>
      </c>
    </row>
    <row r="38" spans="1:6" x14ac:dyDescent="0.25">
      <c r="A38" t="s">
        <v>59</v>
      </c>
      <c r="B38" t="s">
        <v>58</v>
      </c>
      <c r="C38" t="s">
        <v>76</v>
      </c>
      <c r="D38" s="31">
        <v>642251412058.32104</v>
      </c>
      <c r="E38" s="31">
        <v>1261846683275.29</v>
      </c>
      <c r="F38" s="31">
        <v>6.9900000000000004E-2</v>
      </c>
    </row>
    <row r="39" spans="1:6" x14ac:dyDescent="0.25">
      <c r="A39" t="s">
        <v>59</v>
      </c>
      <c r="B39" t="s">
        <v>58</v>
      </c>
      <c r="C39" t="s">
        <v>75</v>
      </c>
      <c r="D39" s="31">
        <v>589739772727.27295</v>
      </c>
      <c r="E39" s="31">
        <v>1476746276854.51</v>
      </c>
      <c r="F39" s="31">
        <v>9.6100000000000005E-2</v>
      </c>
    </row>
    <row r="40" spans="1:6" x14ac:dyDescent="0.25">
      <c r="A40" t="s">
        <v>59</v>
      </c>
      <c r="B40" t="s">
        <v>58</v>
      </c>
      <c r="C40" t="s">
        <v>74</v>
      </c>
      <c r="D40" s="31">
        <v>618731484575.12</v>
      </c>
      <c r="E40" s="31">
        <v>1636115447612.5</v>
      </c>
      <c r="F40" s="31">
        <v>0.1021</v>
      </c>
    </row>
    <row r="41" spans="1:6" x14ac:dyDescent="0.25">
      <c r="A41" t="s">
        <v>59</v>
      </c>
      <c r="B41" t="s">
        <v>58</v>
      </c>
      <c r="C41" t="s">
        <v>73</v>
      </c>
      <c r="D41" s="31">
        <v>634394904386.87402</v>
      </c>
      <c r="E41" s="31">
        <v>1496587590847.6599</v>
      </c>
      <c r="F41" s="31">
        <v>8.9599999999999999E-2</v>
      </c>
    </row>
    <row r="42" spans="1:6" x14ac:dyDescent="0.25">
      <c r="A42" t="s">
        <v>59</v>
      </c>
      <c r="B42" t="s">
        <v>58</v>
      </c>
      <c r="C42" t="s">
        <v>41</v>
      </c>
      <c r="D42" s="31">
        <v>598102854756.07996</v>
      </c>
      <c r="E42" s="31">
        <v>1427989078916.6699</v>
      </c>
      <c r="F42" s="31">
        <v>9.0899999999999995E-2</v>
      </c>
    </row>
    <row r="43" spans="1:6" x14ac:dyDescent="0.25">
      <c r="A43" t="s">
        <v>59</v>
      </c>
      <c r="B43" t="s">
        <v>58</v>
      </c>
      <c r="C43" t="s">
        <v>72</v>
      </c>
      <c r="D43" s="31">
        <v>627798682378.74097</v>
      </c>
      <c r="E43" s="31">
        <v>1487568659241.25</v>
      </c>
      <c r="F43" s="31">
        <v>9.01E-2</v>
      </c>
    </row>
    <row r="44" spans="1:6" x14ac:dyDescent="0.25">
      <c r="A44" t="s">
        <v>59</v>
      </c>
      <c r="B44" t="s">
        <v>58</v>
      </c>
      <c r="C44" t="s">
        <v>71</v>
      </c>
      <c r="D44" s="31">
        <v>708938227243.92297</v>
      </c>
      <c r="E44" s="31">
        <v>1330994811670.3101</v>
      </c>
      <c r="F44" s="31">
        <v>6.5000000000000002E-2</v>
      </c>
    </row>
    <row r="45" spans="1:6" x14ac:dyDescent="0.25">
      <c r="A45" t="s">
        <v>59</v>
      </c>
      <c r="B45" t="s">
        <v>58</v>
      </c>
      <c r="C45" t="s">
        <v>70</v>
      </c>
      <c r="D45" s="31">
        <v>907963217057.64502</v>
      </c>
      <c r="E45" s="31">
        <v>1362186923157.6499</v>
      </c>
      <c r="F45" s="31">
        <v>4.1399999999999999E-2</v>
      </c>
    </row>
    <row r="46" spans="1:6" x14ac:dyDescent="0.25">
      <c r="A46" t="s">
        <v>59</v>
      </c>
      <c r="B46" t="s">
        <v>58</v>
      </c>
      <c r="C46" t="s">
        <v>69</v>
      </c>
      <c r="D46" s="31">
        <v>1069829382514.67</v>
      </c>
      <c r="E46" s="31">
        <v>1380244561361.96</v>
      </c>
      <c r="F46" s="31">
        <v>2.58E-2</v>
      </c>
    </row>
    <row r="47" spans="1:6" x14ac:dyDescent="0.25">
      <c r="A47" t="s">
        <v>59</v>
      </c>
      <c r="B47" t="s">
        <v>58</v>
      </c>
      <c r="C47" t="s">
        <v>68</v>
      </c>
      <c r="D47" s="31">
        <v>1154667551775.8799</v>
      </c>
      <c r="E47" s="31">
        <v>1206164777553.1201</v>
      </c>
      <c r="F47" s="31">
        <v>4.4000000000000003E-3</v>
      </c>
    </row>
    <row r="48" spans="1:6" x14ac:dyDescent="0.25">
      <c r="A48" t="s">
        <v>59</v>
      </c>
      <c r="B48" t="s">
        <v>58</v>
      </c>
      <c r="C48" t="s">
        <v>67</v>
      </c>
      <c r="D48" s="31">
        <v>1261846683275.29</v>
      </c>
      <c r="E48" s="31">
        <v>1243015667917.1201</v>
      </c>
      <c r="F48" s="31">
        <v>-1.5E-3</v>
      </c>
    </row>
    <row r="49" spans="1:6" x14ac:dyDescent="0.25">
      <c r="A49" t="s">
        <v>59</v>
      </c>
      <c r="B49" t="s">
        <v>58</v>
      </c>
      <c r="C49" t="s">
        <v>66</v>
      </c>
      <c r="D49" s="31">
        <v>1476746276854.51</v>
      </c>
      <c r="E49" s="31">
        <v>1321754088818.8301</v>
      </c>
      <c r="F49" s="31">
        <v>-1.0999999999999999E-2</v>
      </c>
    </row>
    <row r="50" spans="1:6" x14ac:dyDescent="0.25">
      <c r="A50" t="s">
        <v>59</v>
      </c>
      <c r="B50" t="s">
        <v>58</v>
      </c>
      <c r="C50" t="s">
        <v>65</v>
      </c>
      <c r="D50" s="31">
        <v>1636115447612.5</v>
      </c>
      <c r="E50" s="31">
        <v>1431642809327.0601</v>
      </c>
      <c r="F50" s="31">
        <v>-1.3299999999999999E-2</v>
      </c>
    </row>
    <row r="51" spans="1:6" x14ac:dyDescent="0.25">
      <c r="A51" t="s">
        <v>59</v>
      </c>
      <c r="B51" t="s">
        <v>58</v>
      </c>
      <c r="C51" t="s">
        <v>64</v>
      </c>
      <c r="D51" s="31">
        <v>1496587590847.6599</v>
      </c>
      <c r="E51" s="31">
        <v>1403496387686.27</v>
      </c>
      <c r="F51" s="31">
        <v>-6.4000000000000003E-3</v>
      </c>
    </row>
    <row r="52" spans="1:6" x14ac:dyDescent="0.25">
      <c r="A52" t="s">
        <v>59</v>
      </c>
      <c r="B52" t="s">
        <v>58</v>
      </c>
      <c r="C52" t="s">
        <v>40</v>
      </c>
      <c r="D52" s="31">
        <v>1427989078916.6699</v>
      </c>
      <c r="E52" s="31">
        <v>1289783836971.21</v>
      </c>
      <c r="F52" s="31">
        <v>-1.01E-2</v>
      </c>
    </row>
    <row r="53" spans="1:6" x14ac:dyDescent="0.25">
      <c r="A53" t="s">
        <v>59</v>
      </c>
      <c r="B53" t="s">
        <v>58</v>
      </c>
      <c r="C53" t="s">
        <v>63</v>
      </c>
      <c r="D53" s="31">
        <v>1487568659241.25</v>
      </c>
      <c r="E53" s="31">
        <v>1461244901852.6899</v>
      </c>
      <c r="F53" s="31">
        <v>-1.8E-3</v>
      </c>
    </row>
    <row r="54" spans="1:6" x14ac:dyDescent="0.25">
      <c r="A54" t="s">
        <v>59</v>
      </c>
      <c r="B54" t="s">
        <v>58</v>
      </c>
      <c r="C54" t="s">
        <v>62</v>
      </c>
      <c r="D54" s="31">
        <v>1330994811670.3101</v>
      </c>
      <c r="E54" s="31">
        <v>1448850658406.6201</v>
      </c>
      <c r="F54" s="31">
        <v>8.5000000000000006E-3</v>
      </c>
    </row>
    <row r="55" spans="1:6" x14ac:dyDescent="0.25">
      <c r="A55" t="s">
        <v>59</v>
      </c>
      <c r="B55" t="s">
        <v>58</v>
      </c>
      <c r="C55" t="s">
        <v>61</v>
      </c>
      <c r="D55" s="31">
        <v>1362186923157.6499</v>
      </c>
      <c r="E55" s="31">
        <v>1619481980719.6399</v>
      </c>
      <c r="F55" s="31">
        <v>1.7500000000000002E-2</v>
      </c>
    </row>
    <row r="56" spans="1:6" x14ac:dyDescent="0.25">
      <c r="A56" t="s">
        <v>59</v>
      </c>
      <c r="B56" t="s">
        <v>58</v>
      </c>
      <c r="C56" t="s">
        <v>60</v>
      </c>
      <c r="D56" s="31">
        <v>1380244561361.96</v>
      </c>
      <c r="E56" s="31">
        <v>1725671652742.1899</v>
      </c>
      <c r="F56" s="31">
        <v>2.2599999999999999E-2</v>
      </c>
    </row>
    <row r="57" spans="1:6" x14ac:dyDescent="0.25">
      <c r="A57" t="s">
        <v>59</v>
      </c>
      <c r="B57" t="s">
        <v>58</v>
      </c>
      <c r="C57" t="s">
        <v>57</v>
      </c>
      <c r="D57" s="31">
        <v>1206164777553.1201</v>
      </c>
      <c r="E57" s="31">
        <v>1906453309985.8799</v>
      </c>
      <c r="F57" s="31">
        <v>4.6800000000000001E-2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GDP Analysys Project</vt:lpstr>
      <vt:lpstr>Data Quality</vt:lpstr>
      <vt:lpstr>Spain GDP Analysis </vt:lpstr>
      <vt:lpstr>Spain 10 Year CAGR</vt:lpstr>
      <vt:lpstr>rolling_cagr_table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Ylenia Pérez Jiménez</dc:creator>
  <cp:lastModifiedBy>Ylenia Pérez Jiménez</cp:lastModifiedBy>
  <dcterms:created xsi:type="dcterms:W3CDTF">2026-08-03T16:55:13Z</dcterms:created>
  <dcterms:modified xsi:type="dcterms:W3CDTF">2026-08-13T17:28:47Z</dcterms:modified>
</cp:coreProperties>
</file>